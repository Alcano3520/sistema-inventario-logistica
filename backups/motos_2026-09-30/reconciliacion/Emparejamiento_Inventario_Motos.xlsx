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EMPAREJAR" sheetId="2" state="visible" r:id="rId2"/>
    <sheet xmlns:r="http://schemas.openxmlformats.org/officeDocument/2006/relationships" name="Inventario ANTERIOR (borrado)" sheetId="3" state="visible" r:id="rId3"/>
    <sheet xmlns:r="http://schemas.openxmlformats.org/officeDocument/2006/relationships" name="Inventario ACTUAL (nuevo)" sheetId="4" state="visible" r:id="rId4"/>
    <sheet xmlns:r="http://schemas.openxmlformats.org/officeDocument/2006/relationships" name="Movimientos ANTERIOR (detalle)" sheetId="5" state="visible" r:id="rId5"/>
  </sheets>
  <definedNames>
    <definedName name="ListaProductosNuevos">'Inventario ACTUAL (nuevo)'!$H$2:$H$90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B3A5C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3F3EC"/>
      </patternFill>
    </fill>
    <fill>
      <patternFill patternType="solid">
        <fgColor rgb="00E3EEF8"/>
      </patternFill>
    </fill>
    <fill>
      <patternFill patternType="solid">
        <fgColor rgb="001B3A5C"/>
      </patternFill>
    </fill>
    <fill>
      <patternFill patternType="solid">
        <fgColor rgb="00FAE3E1"/>
      </patternFill>
    </fill>
    <fill>
      <patternFill patternType="solid">
        <fgColor rgb="00FCEEDC"/>
      </patternFill>
    </fill>
  </fills>
  <borders count="3">
    <border>
      <left/>
      <right/>
      <top/>
      <bottom/>
      <diagonal/>
    </border>
    <border>
      <left style="thin">
        <color rgb="00DFE4EA"/>
      </left>
      <right style="thin">
        <color rgb="00DFE4EA"/>
      </right>
      <top style="thin">
        <color rgb="00DFE4EA"/>
      </top>
      <bottom style="thin">
        <color rgb="00DFE4E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5" borderId="1" pivotButton="0" quotePrefix="0" xfId="0"/>
    <xf numFmtId="0" fontId="0" fillId="2" borderId="1" pivotButton="0" quotePrefix="0" xfId="0"/>
    <xf numFmtId="0" fontId="0" fillId="6" borderId="1" pivotButton="0" quotePrefix="0" xfId="0"/>
    <xf numFmtId="0" fontId="0" fillId="0" borderId="2" pivotButton="0" quotePrefix="0" xfId="0"/>
    <xf numFmtId="0" fontId="0" fillId="2" borderId="2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Emparejamiento" displayName="Emparejamiento" ref="A1:K122" headerRowCount="1">
  <autoFilter ref="A1:K122"/>
  <tableColumns count="11">
    <tableColumn id="1" name="Código anterior"/>
    <tableColumn id="2" name="Producto anterior (sin código de barras)"/>
    <tableColumn id="3" name="Producto nuevo sugerido"/>
    <tableColumn id="4" name="Código nuevo sugerido"/>
    <tableColumn id="5" name="% de parecido (referencia)"/>
    <tableColumn id="6" name="Código nuevo CONFIRMADO (clic y elegir de la lista)"/>
    <tableColumn id="7" name="Entradas histórico (fórmula)"/>
    <tableColumn id="8" name="Salidas histórico (fórmula)"/>
    <tableColumn id="9" name="Stock al respaldo"/>
    <tableColumn id="10" name="¿De la última factura mal ingresada?"/>
    <tableColumn id="11" name="Observaciones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InventarioAnterior" displayName="InventarioAnterior" ref="A1:G122" headerRowCount="1">
  <autoFilter ref="A1:G122"/>
  <tableColumns count="7">
    <tableColumn id="1" name="Código anterior"/>
    <tableColumn id="2" name="Producto"/>
    <tableColumn id="3" name="Categoría"/>
    <tableColumn id="4" name="Ubicación"/>
    <tableColumn id="5" name="Entradas totales"/>
    <tableColumn id="6" name="Salidas totales"/>
    <tableColumn id="7" name="Stock al respaldo"/>
  </tableColumns>
</table>
</file>

<file path=xl/tables/table3.xml><?xml version="1.0" encoding="utf-8"?>
<table xmlns="http://schemas.openxmlformats.org/spreadsheetml/2006/main" id="3" name="InventarioActual" displayName="InventarioActual" ref="A1:H90" headerRowCount="1">
  <autoFilter ref="A1:H90"/>
  <tableColumns count="8">
    <tableColumn id="1" name="Código nuevo"/>
    <tableColumn id="2" name="Producto"/>
    <tableColumn id="3" name="Categoría"/>
    <tableColumn id="4" name="Ubicación"/>
    <tableColumn id="5" name="Entradas totales"/>
    <tableColumn id="6" name="Salidas totales"/>
    <tableColumn id="7" name="Stock actual"/>
    <tableColumn id="8" name="Para elegir (producto — código)"/>
  </tableColumns>
</table>
</file>

<file path=xl/tables/table4.xml><?xml version="1.0" encoding="utf-8"?>
<table xmlns="http://schemas.openxmlformats.org/spreadsheetml/2006/main" id="4" name="MovimientosAnterior" displayName="MovimientosAnterior" ref="A1:I131" headerRowCount="1">
  <autoFilter ref="A1:I131"/>
  <tableColumns count="9">
    <tableColumn id="1" name="Código"/>
    <tableColumn id="2" name="Producto"/>
    <tableColumn id="3" name="Fecha"/>
    <tableColumn id="4" name="Tipo"/>
    <tableColumn id="5" name="Cantidad"/>
    <tableColumn id="6" name="Proveedor / Entregado a"/>
    <tableColumn id="7" name="N° Factura / Propósito"/>
    <tableColumn id="8" name="Usuario"/>
    <tableColumn id="9" name="Saldo después de este movimiento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" t="inlineStr">
        <is>
          <t>Qué es este archivo</t>
        </is>
      </c>
    </row>
    <row r="2" ht="30" customHeight="1">
      <c r="B2" s="2" t="inlineStr">
        <is>
          <t>Lista de los 121 productos del inventario ANTERIOR de Motos (el que se borró el 30/09/2026, ya respaldado) para emparejarlos a mano con los 89 productos del inventario NUEVO actual.</t>
        </is>
      </c>
    </row>
    <row r="4">
      <c r="A4" s="1" t="inlineStr">
        <is>
          <t>Hoja EMPAREJAR (la principal)</t>
        </is>
      </c>
    </row>
    <row r="5" ht="30" customHeight="1">
      <c r="B5" s="2" t="inlineStr">
        <is>
          <t>Están los 121 productos anteriores, todos por igual, sin excepción. Primero va el producto ANTERIOR (columnas A-B, el que no tenía código de barras), y luego la sugerencia del producto NUEVO que sí tiene código (columnas C-E).</t>
        </is>
      </c>
    </row>
    <row r="6" ht="30" customHeight="1">
      <c r="B6" s="2" t="inlineStr">
        <is>
          <t>Columnas C y D ("Producto nuevo sugerido" / "Código nuevo sugerido") se llenan solas con fórmula: si el nombre coincide EXACTO con uno del inventario nuevo, usa ese; si el parecido por texto supera el 70%, usa esa sugerencia; si no llega a ese nivel de confianza, quedan en blanco a propósito — es mejor no sugerir nada que sugerir algo probablemente equivocado. Columna E muestra el % de parecido como referencia, incluso cuando no hubo sugerencia (100% = coincidencia exacta).</t>
        </is>
      </c>
    </row>
    <row r="7" ht="30" customHeight="1">
      <c r="B7" s="2" t="inlineStr">
        <is>
          <t>Columna F, "Código nuevo CONFIRMADO": ahí se elige, por cada fila, cuál es el producto del inventario NUEVO que realmente corresponde a ese producto anterior. Al hacer clic en la celda aparece una flechita con los 89 productos nuevos completos ("producto — código") para elegir buscando por nombre, sin tener que escribir el código a mano ni arriesgarse a poner uno que no exista.</t>
        </is>
      </c>
    </row>
    <row r="8" ht="30" customHeight="1">
      <c r="B8" s="2" t="inlineStr">
        <is>
          <t>Columnas G y H ("Entradas histórico" / "Salidas histórico") son fórmulas SUMIFS que recalculan el total de entradas y salidas de cada producto a partir de la hoja "Movimientos ANTERIOR (detalle)", como control cruzado contra la columna I ("Stock al respaldo").</t>
        </is>
      </c>
    </row>
    <row r="10">
      <c r="A10" s="1" t="inlineStr">
        <is>
          <t>Hoja "Movimientos ANTERIOR (detalle)"</t>
        </is>
      </c>
    </row>
    <row r="11" ht="30" customHeight="1">
      <c r="B11" s="2" t="inlineStr">
        <is>
          <t>El histórico completo: cada entrada y cada salida del inventario anterior, una por fila, con fecha, cantidad, proveedor/N° de factura (en las entradas) o a quién se entregó/propósito (en las salidas), quién la registró, y el saldo que iba quedando después de cada movimiento. Use el filtro de la columna "Código" o "Producto" para ver el detalle de uno en particular. Entradas en verde, salidas en azul.</t>
        </is>
      </c>
    </row>
    <row r="13">
      <c r="A13" s="1" t="inlineStr">
        <is>
          <t>Qué significa el color de las columnas C-E</t>
        </is>
      </c>
    </row>
    <row r="14" ht="30" customHeight="1">
      <c r="B14" s="2" t="inlineStr">
        <is>
          <t>Verde: el nombre coincide exacto con uno del inventario nuevo (alta confianza).</t>
        </is>
      </c>
    </row>
    <row r="15" ht="30" customHeight="1">
      <c r="B15" s="2" t="inlineStr">
        <is>
          <t>Amarillo: parecido muy alto (80% o más) — probablemente es, pero conviene confirmar.</t>
        </is>
      </c>
    </row>
    <row r="16" ht="30" customHeight="1">
      <c r="B16" s="2" t="inlineStr">
        <is>
          <t>Naranja: parecido más moderado (71%-79%, el mínimo que se dejó en esta lista) — revisar con más cuidado, puede no ser el correcto.</t>
        </is>
      </c>
    </row>
    <row r="18">
      <c r="A18" s="1" t="inlineStr">
        <is>
          <t>Filas con borde grueso</t>
        </is>
      </c>
    </row>
    <row r="19" ht="30" customHeight="1">
      <c r="B19" s="2" t="inlineStr">
        <is>
          <t>Son los 4 productos de la última factura que quedó mal ingresada antes de borrar el inventario (N° 371, proveedor Colón Moto, 22/09/2026) — revisar esas con más cuidado.</t>
        </is>
      </c>
    </row>
    <row r="21">
      <c r="A21" s="1" t="inlineStr">
        <is>
          <t>Otras hojas</t>
        </is>
      </c>
    </row>
    <row r="22" ht="30" customHeight="1">
      <c r="B22" s="2" t="inlineStr">
        <is>
          <t>"Inventario ANTERIOR (borrado)": el listado completo tal como estaba antes de borrarlo, con sus códigos y cantidades de ese momento.</t>
        </is>
      </c>
    </row>
    <row r="23" ht="30" customHeight="1">
      <c r="B23" s="2" t="inlineStr">
        <is>
          <t>"Inventario ACTUAL (nuevo)": el listado del inventario nuevo tal como está hoy en el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  <col width="18" customWidth="1" min="4" max="4"/>
    <col width="14" customWidth="1" min="5" max="5"/>
    <col width="22" customWidth="1" min="6" max="6"/>
    <col width="16" customWidth="1" min="7" max="7"/>
    <col width="16" customWidth="1" min="8" max="8"/>
    <col width="12" customWidth="1" min="9" max="9"/>
    <col width="22" customWidth="1" min="10" max="10"/>
    <col width="24" customWidth="1" min="11" max="11"/>
  </cols>
  <sheetData>
    <row r="1" ht="34" customHeight="1">
      <c r="A1" s="3" t="inlineStr">
        <is>
          <t>Código anterior</t>
        </is>
      </c>
      <c r="B1" s="3" t="inlineStr">
        <is>
          <t>Producto anterior (sin código de barras)</t>
        </is>
      </c>
      <c r="C1" s="3" t="inlineStr">
        <is>
          <t>Producto nuevo sugerido</t>
        </is>
      </c>
      <c r="D1" s="3" t="inlineStr">
        <is>
          <t>Código nuevo sugerido</t>
        </is>
      </c>
      <c r="E1" s="3" t="inlineStr">
        <is>
          <t>% de parecido (referencia)</t>
        </is>
      </c>
      <c r="F1" s="3" t="inlineStr">
        <is>
          <t>Código nuevo CONFIRMADO (clic y elegir de la lista)</t>
        </is>
      </c>
      <c r="G1" s="3" t="inlineStr">
        <is>
          <t>Entradas histórico (fórmula)</t>
        </is>
      </c>
      <c r="H1" s="3" t="inlineStr">
        <is>
          <t>Salidas histórico (fórmula)</t>
        </is>
      </c>
      <c r="I1" s="3" t="inlineStr">
        <is>
          <t>Stock al respaldo</t>
        </is>
      </c>
      <c r="J1" s="3" t="inlineStr">
        <is>
          <t>¿De la última factura mal ingresada?</t>
        </is>
      </c>
      <c r="K1" s="3" t="inlineStr">
        <is>
          <t>Observaciones</t>
        </is>
      </c>
    </row>
    <row r="2">
      <c r="A2" s="4">
        <f>'Inventario ANTERIOR (borrado)'!A2</f>
        <v/>
      </c>
      <c r="B2" s="4">
        <f>'Inventario ANTERIOR (borrado)'!B2</f>
        <v/>
      </c>
      <c r="C2" s="4">
        <f>IFERROR(INDEX('Inventario ACTUAL (nuevo)'!$B:$B,MATCH(B2,'Inventario ACTUAL (nuevo)'!$B:$B,0)),"")</f>
        <v/>
      </c>
      <c r="D2" s="4">
        <f>IFERROR(INDEX('Inventario ACTUAL (nuevo)'!$A:$A,MATCH(B2,'Inventario ACTUAL (nuevo)'!$B:$B,0)),"")</f>
        <v/>
      </c>
      <c r="E2" s="4" t="n">
        <v>40</v>
      </c>
      <c r="F2" s="4" t="n"/>
      <c r="G2" s="4">
        <f>SUMIFS('Movimientos ANTERIOR (detalle)'!$E:$E,'Movimientos ANTERIOR (detalle)'!$A:$A,A2,'Movimientos ANTERIOR (detalle)'!$D:$D,"Entrada")</f>
        <v/>
      </c>
      <c r="H2" s="4">
        <f>SUMIFS('Movimientos ANTERIOR (detalle)'!$E:$E,'Movimientos ANTERIOR (detalle)'!$A:$A,A2,'Movimientos ANTERIOR (detalle)'!$D:$D,"Salida")</f>
        <v/>
      </c>
      <c r="I2" s="4">
        <f>'Inventario ANTERIOR (borrado)'!G2</f>
        <v/>
      </c>
      <c r="J2" s="4" t="inlineStr"/>
      <c r="K2" s="4" t="n"/>
    </row>
    <row r="3">
      <c r="A3" s="4">
        <f>'Inventario ANTERIOR (borrado)'!A3</f>
        <v/>
      </c>
      <c r="B3" s="4">
        <f>'Inventario ANTERIOR (borrado)'!B3</f>
        <v/>
      </c>
      <c r="C3" s="4">
        <f>IFERROR(INDEX('Inventario ACTUAL (nuevo)'!$B:$B,MATCH(B3,'Inventario ACTUAL (nuevo)'!$B:$B,0)),"")</f>
        <v/>
      </c>
      <c r="D3" s="4">
        <f>IFERROR(INDEX('Inventario ACTUAL (nuevo)'!$A:$A,MATCH(B3,'Inventario ACTUAL (nuevo)'!$B:$B,0)),"")</f>
        <v/>
      </c>
      <c r="E3" s="4" t="n">
        <v>62</v>
      </c>
      <c r="F3" s="4" t="n"/>
      <c r="G3" s="4">
        <f>SUMIFS('Movimientos ANTERIOR (detalle)'!$E:$E,'Movimientos ANTERIOR (detalle)'!$A:$A,A3,'Movimientos ANTERIOR (detalle)'!$D:$D,"Entrada")</f>
        <v/>
      </c>
      <c r="H3" s="4">
        <f>SUMIFS('Movimientos ANTERIOR (detalle)'!$E:$E,'Movimientos ANTERIOR (detalle)'!$A:$A,A3,'Movimientos ANTERIOR (detalle)'!$D:$D,"Salida")</f>
        <v/>
      </c>
      <c r="I3" s="4">
        <f>'Inventario ANTERIOR (borrado)'!G3</f>
        <v/>
      </c>
      <c r="J3" s="4" t="inlineStr"/>
      <c r="K3" s="4" t="n"/>
    </row>
    <row r="4">
      <c r="A4" s="4">
        <f>'Inventario ANTERIOR (borrado)'!A4</f>
        <v/>
      </c>
      <c r="B4" s="4">
        <f>'Inventario ANTERIOR (borrado)'!B4</f>
        <v/>
      </c>
      <c r="C4" s="4">
        <f>IFERROR(INDEX('Inventario ACTUAL (nuevo)'!$B:$B,MATCH(B4,'Inventario ACTUAL (nuevo)'!$B:$B,0)),"")</f>
        <v/>
      </c>
      <c r="D4" s="4">
        <f>IFERROR(INDEX('Inventario ACTUAL (nuevo)'!$A:$A,MATCH(B4,'Inventario ACTUAL (nuevo)'!$B:$B,0)),"")</f>
        <v/>
      </c>
      <c r="E4" s="4" t="n">
        <v>69</v>
      </c>
      <c r="F4" s="4" t="n"/>
      <c r="G4" s="4">
        <f>SUMIFS('Movimientos ANTERIOR (detalle)'!$E:$E,'Movimientos ANTERIOR (detalle)'!$A:$A,A4,'Movimientos ANTERIOR (detalle)'!$D:$D,"Entrada")</f>
        <v/>
      </c>
      <c r="H4" s="4">
        <f>SUMIFS('Movimientos ANTERIOR (detalle)'!$E:$E,'Movimientos ANTERIOR (detalle)'!$A:$A,A4,'Movimientos ANTERIOR (detalle)'!$D:$D,"Salida")</f>
        <v/>
      </c>
      <c r="I4" s="4">
        <f>'Inventario ANTERIOR (borrado)'!G4</f>
        <v/>
      </c>
      <c r="J4" s="4" t="inlineStr"/>
      <c r="K4" s="4" t="n"/>
    </row>
    <row r="5">
      <c r="A5" s="4">
        <f>'Inventario ANTERIOR (borrado)'!A5</f>
        <v/>
      </c>
      <c r="B5" s="4">
        <f>'Inventario ANTERIOR (borrado)'!B5</f>
        <v/>
      </c>
      <c r="C5" s="5">
        <f>IFERROR(INDEX('Inventario ACTUAL (nuevo)'!$B:$B,MATCH(B5,'Inventario ACTUAL (nuevo)'!$B:$B,0)),"Eje DELANTERO")</f>
        <v/>
      </c>
      <c r="D5" s="5">
        <f>IFERROR(INDEX('Inventario ACTUAL (nuevo)'!$A:$A,MATCH(B5,'Inventario ACTUAL (nuevo)'!$B:$B,0)),"INTMUWUAG0EKQ")</f>
        <v/>
      </c>
      <c r="E5" s="5" t="n">
        <v>77</v>
      </c>
      <c r="F5" s="4" t="n"/>
      <c r="G5" s="4">
        <f>SUMIFS('Movimientos ANTERIOR (detalle)'!$E:$E,'Movimientos ANTERIOR (detalle)'!$A:$A,A5,'Movimientos ANTERIOR (detalle)'!$D:$D,"Entrada")</f>
        <v/>
      </c>
      <c r="H5" s="4">
        <f>SUMIFS('Movimientos ANTERIOR (detalle)'!$E:$E,'Movimientos ANTERIOR (detalle)'!$A:$A,A5,'Movimientos ANTERIOR (detalle)'!$D:$D,"Salida")</f>
        <v/>
      </c>
      <c r="I5" s="4">
        <f>'Inventario ANTERIOR (borrado)'!G5</f>
        <v/>
      </c>
      <c r="J5" s="4" t="inlineStr"/>
      <c r="K5" s="4" t="n"/>
    </row>
    <row r="6">
      <c r="A6" s="4">
        <f>'Inventario ANTERIOR (borrado)'!A6</f>
        <v/>
      </c>
      <c r="B6" s="4">
        <f>'Inventario ANTERIOR (borrado)'!B6</f>
        <v/>
      </c>
      <c r="C6" s="4">
        <f>IFERROR(INDEX('Inventario ACTUAL (nuevo)'!$B:$B,MATCH(B6,'Inventario ACTUAL (nuevo)'!$B:$B,0)),"")</f>
        <v/>
      </c>
      <c r="D6" s="4">
        <f>IFERROR(INDEX('Inventario ACTUAL (nuevo)'!$A:$A,MATCH(B6,'Inventario ACTUAL (nuevo)'!$B:$B,0)),"")</f>
        <v/>
      </c>
      <c r="E6" s="4" t="n">
        <v>45</v>
      </c>
      <c r="F6" s="4" t="n"/>
      <c r="G6" s="4">
        <f>SUMIFS('Movimientos ANTERIOR (detalle)'!$E:$E,'Movimientos ANTERIOR (detalle)'!$A:$A,A6,'Movimientos ANTERIOR (detalle)'!$D:$D,"Entrada")</f>
        <v/>
      </c>
      <c r="H6" s="4">
        <f>SUMIFS('Movimientos ANTERIOR (detalle)'!$E:$E,'Movimientos ANTERIOR (detalle)'!$A:$A,A6,'Movimientos ANTERIOR (detalle)'!$D:$D,"Salida")</f>
        <v/>
      </c>
      <c r="I6" s="4">
        <f>'Inventario ANTERIOR (borrado)'!G6</f>
        <v/>
      </c>
      <c r="J6" s="4" t="inlineStr"/>
      <c r="K6" s="4" t="n"/>
    </row>
    <row r="7">
      <c r="A7" s="4">
        <f>'Inventario ANTERIOR (borrado)'!A7</f>
        <v/>
      </c>
      <c r="B7" s="4">
        <f>'Inventario ANTERIOR (borrado)'!B7</f>
        <v/>
      </c>
      <c r="C7" s="5">
        <f>IFERROR(INDEX('Inventario ACTUAL (nuevo)'!$B:$B,MATCH(B7,'Inventario ACTUAL (nuevo)'!$B:$B,0)),"PISADERO TRASERA")</f>
        <v/>
      </c>
      <c r="D7" s="5">
        <f>IFERROR(INDEX('Inventario ACTUAL (nuevo)'!$A:$A,MATCH(B7,'Inventario ACTUAL (nuevo)'!$B:$B,0)),"INTMUR85SOCQ4")</f>
        <v/>
      </c>
      <c r="E7" s="5" t="n">
        <v>74</v>
      </c>
      <c r="F7" s="4" t="n"/>
      <c r="G7" s="4">
        <f>SUMIFS('Movimientos ANTERIOR (detalle)'!$E:$E,'Movimientos ANTERIOR (detalle)'!$A:$A,A7,'Movimientos ANTERIOR (detalle)'!$D:$D,"Entrada")</f>
        <v/>
      </c>
      <c r="H7" s="4">
        <f>SUMIFS('Movimientos ANTERIOR (detalle)'!$E:$E,'Movimientos ANTERIOR (detalle)'!$A:$A,A7,'Movimientos ANTERIOR (detalle)'!$D:$D,"Salida")</f>
        <v/>
      </c>
      <c r="I7" s="4">
        <f>'Inventario ANTERIOR (borrado)'!G7</f>
        <v/>
      </c>
      <c r="J7" s="4" t="inlineStr"/>
      <c r="K7" s="4" t="n"/>
    </row>
    <row r="8">
      <c r="A8" s="4">
        <f>'Inventario ANTERIOR (borrado)'!A8</f>
        <v/>
      </c>
      <c r="B8" s="4">
        <f>'Inventario ANTERIOR (borrado)'!B8</f>
        <v/>
      </c>
      <c r="C8" s="4">
        <f>IFERROR(INDEX('Inventario ACTUAL (nuevo)'!$B:$B,MATCH(B8,'Inventario ACTUAL (nuevo)'!$B:$B,0)),"")</f>
        <v/>
      </c>
      <c r="D8" s="4">
        <f>IFERROR(INDEX('Inventario ACTUAL (nuevo)'!$A:$A,MATCH(B8,'Inventario ACTUAL (nuevo)'!$B:$B,0)),"")</f>
        <v/>
      </c>
      <c r="E8" s="4" t="n">
        <v>54</v>
      </c>
      <c r="F8" s="4" t="n"/>
      <c r="G8" s="4">
        <f>SUMIFS('Movimientos ANTERIOR (detalle)'!$E:$E,'Movimientos ANTERIOR (detalle)'!$A:$A,A8,'Movimientos ANTERIOR (detalle)'!$D:$D,"Entrada")</f>
        <v/>
      </c>
      <c r="H8" s="4">
        <f>SUMIFS('Movimientos ANTERIOR (detalle)'!$E:$E,'Movimientos ANTERIOR (detalle)'!$A:$A,A8,'Movimientos ANTERIOR (detalle)'!$D:$D,"Salida")</f>
        <v/>
      </c>
      <c r="I8" s="4">
        <f>'Inventario ANTERIOR (borrado)'!G8</f>
        <v/>
      </c>
      <c r="J8" s="4" t="inlineStr"/>
      <c r="K8" s="4" t="n"/>
    </row>
    <row r="9">
      <c r="A9" s="4">
        <f>'Inventario ANTERIOR (borrado)'!A9</f>
        <v/>
      </c>
      <c r="B9" s="4">
        <f>'Inventario ANTERIOR (borrado)'!B9</f>
        <v/>
      </c>
      <c r="C9" s="5">
        <f>IFERROR(INDEX('Inventario ACTUAL (nuevo)'!$B:$B,MATCH(B9,'Inventario ACTUAL (nuevo)'!$B:$B,0)),"BARA TELESCÓPICA")</f>
        <v/>
      </c>
      <c r="D9" s="5">
        <f>IFERROR(INDEX('Inventario ACTUAL (nuevo)'!$A:$A,MATCH(B9,'Inventario ACTUAL (nuevo)'!$B:$B,0)),"INTMUR838GUDV")</f>
        <v/>
      </c>
      <c r="E9" s="5" t="n">
        <v>73</v>
      </c>
      <c r="F9" s="4" t="n"/>
      <c r="G9" s="4">
        <f>SUMIFS('Movimientos ANTERIOR (detalle)'!$E:$E,'Movimientos ANTERIOR (detalle)'!$A:$A,A9,'Movimientos ANTERIOR (detalle)'!$D:$D,"Entrada")</f>
        <v/>
      </c>
      <c r="H9" s="4">
        <f>SUMIFS('Movimientos ANTERIOR (detalle)'!$E:$E,'Movimientos ANTERIOR (detalle)'!$A:$A,A9,'Movimientos ANTERIOR (detalle)'!$D:$D,"Salida")</f>
        <v/>
      </c>
      <c r="I9" s="4">
        <f>'Inventario ANTERIOR (borrado)'!G9</f>
        <v/>
      </c>
      <c r="J9" s="4" t="inlineStr"/>
      <c r="K9" s="4" t="n"/>
    </row>
    <row r="10">
      <c r="A10" s="4">
        <f>'Inventario ANTERIOR (borrado)'!A10</f>
        <v/>
      </c>
      <c r="B10" s="4">
        <f>'Inventario ANTERIOR (borrado)'!B10</f>
        <v/>
      </c>
      <c r="C10" s="6">
        <f>IFERROR(INDEX('Inventario ACTUAL (nuevo)'!$B:$B,MATCH(B10,'Inventario ACTUAL (nuevo)'!$B:$B,0)),"BATERIA")</f>
        <v/>
      </c>
      <c r="D10" s="6">
        <f>IFERROR(INDEX('Inventario ACTUAL (nuevo)'!$A:$A,MATCH(B10,'Inventario ACTUAL (nuevo)'!$B:$B,0)),"INTMUR7METY7D")</f>
        <v/>
      </c>
      <c r="E10" s="6" t="n">
        <v>100</v>
      </c>
      <c r="F10" s="4" t="n"/>
      <c r="G10" s="4">
        <f>SUMIFS('Movimientos ANTERIOR (detalle)'!$E:$E,'Movimientos ANTERIOR (detalle)'!$A:$A,A10,'Movimientos ANTERIOR (detalle)'!$D:$D,"Entrada")</f>
        <v/>
      </c>
      <c r="H10" s="4">
        <f>SUMIFS('Movimientos ANTERIOR (detalle)'!$E:$E,'Movimientos ANTERIOR (detalle)'!$A:$A,A10,'Movimientos ANTERIOR (detalle)'!$D:$D,"Salida")</f>
        <v/>
      </c>
      <c r="I10" s="4">
        <f>'Inventario ANTERIOR (borrado)'!G10</f>
        <v/>
      </c>
      <c r="J10" s="4" t="inlineStr"/>
      <c r="K10" s="4" t="n"/>
    </row>
    <row r="11">
      <c r="A11" s="4">
        <f>'Inventario ANTERIOR (borrado)'!A11</f>
        <v/>
      </c>
      <c r="B11" s="4">
        <f>'Inventario ANTERIOR (borrado)'!B11</f>
        <v/>
      </c>
      <c r="C11" s="6">
        <f>IFERROR(INDEX('Inventario ACTUAL (nuevo)'!$B:$B,MATCH(B11,'Inventario ACTUAL (nuevo)'!$B:$B,0)),"BENDIX")</f>
        <v/>
      </c>
      <c r="D11" s="6">
        <f>IFERROR(INDEX('Inventario ACTUAL (nuevo)'!$A:$A,MATCH(B11,'Inventario ACTUAL (nuevo)'!$B:$B,0)),"INTMUR6CGIKOQ")</f>
        <v/>
      </c>
      <c r="E11" s="6" t="n">
        <v>100</v>
      </c>
      <c r="F11" s="4" t="n"/>
      <c r="G11" s="4">
        <f>SUMIFS('Movimientos ANTERIOR (detalle)'!$E:$E,'Movimientos ANTERIOR (detalle)'!$A:$A,A11,'Movimientos ANTERIOR (detalle)'!$D:$D,"Entrada")</f>
        <v/>
      </c>
      <c r="H11" s="4">
        <f>SUMIFS('Movimientos ANTERIOR (detalle)'!$E:$E,'Movimientos ANTERIOR (detalle)'!$A:$A,A11,'Movimientos ANTERIOR (detalle)'!$D:$D,"Salida")</f>
        <v/>
      </c>
      <c r="I11" s="4">
        <f>'Inventario ANTERIOR (borrado)'!G11</f>
        <v/>
      </c>
      <c r="J11" s="4" t="inlineStr"/>
      <c r="K11" s="4" t="n"/>
    </row>
    <row r="12">
      <c r="A12" s="4">
        <f>'Inventario ANTERIOR (borrado)'!A12</f>
        <v/>
      </c>
      <c r="B12" s="4">
        <f>'Inventario ANTERIOR (borrado)'!B12</f>
        <v/>
      </c>
      <c r="C12" s="4">
        <f>IFERROR(INDEX('Inventario ACTUAL (nuevo)'!$B:$B,MATCH(B12,'Inventario ACTUAL (nuevo)'!$B:$B,0)),"")</f>
        <v/>
      </c>
      <c r="D12" s="4">
        <f>IFERROR(INDEX('Inventario ACTUAL (nuevo)'!$A:$A,MATCH(B12,'Inventario ACTUAL (nuevo)'!$B:$B,0)),"")</f>
        <v/>
      </c>
      <c r="E12" s="4" t="n">
        <v>58</v>
      </c>
      <c r="F12" s="4" t="n"/>
      <c r="G12" s="4">
        <f>SUMIFS('Movimientos ANTERIOR (detalle)'!$E:$E,'Movimientos ANTERIOR (detalle)'!$A:$A,A12,'Movimientos ANTERIOR (detalle)'!$D:$D,"Entrada")</f>
        <v/>
      </c>
      <c r="H12" s="4">
        <f>SUMIFS('Movimientos ANTERIOR (detalle)'!$E:$E,'Movimientos ANTERIOR (detalle)'!$A:$A,A12,'Movimientos ANTERIOR (detalle)'!$D:$D,"Salida")</f>
        <v/>
      </c>
      <c r="I12" s="4">
        <f>'Inventario ANTERIOR (borrado)'!G12</f>
        <v/>
      </c>
      <c r="J12" s="4" t="inlineStr"/>
      <c r="K12" s="4" t="n"/>
    </row>
    <row r="13">
      <c r="A13" s="4">
        <f>'Inventario ANTERIOR (borrado)'!A13</f>
        <v/>
      </c>
      <c r="B13" s="4">
        <f>'Inventario ANTERIOR (borrado)'!B13</f>
        <v/>
      </c>
      <c r="C13" s="7">
        <f>IFERROR(INDEX('Inventario ACTUAL (nuevo)'!$B:$B,MATCH(B13,'Inventario ACTUAL (nuevo)'!$B:$B,0)),"BOBINA BUJIA")</f>
        <v/>
      </c>
      <c r="D13" s="7">
        <f>IFERROR(INDEX('Inventario ACTUAL (nuevo)'!$A:$A,MATCH(B13,'Inventario ACTUAL (nuevo)'!$B:$B,0)),"INTMUR6ET2S6X")</f>
        <v/>
      </c>
      <c r="E13" s="7" t="n">
        <v>89</v>
      </c>
      <c r="F13" s="4" t="n"/>
      <c r="G13" s="4">
        <f>SUMIFS('Movimientos ANTERIOR (detalle)'!$E:$E,'Movimientos ANTERIOR (detalle)'!$A:$A,A13,'Movimientos ANTERIOR (detalle)'!$D:$D,"Entrada")</f>
        <v/>
      </c>
      <c r="H13" s="4">
        <f>SUMIFS('Movimientos ANTERIOR (detalle)'!$E:$E,'Movimientos ANTERIOR (detalle)'!$A:$A,A13,'Movimientos ANTERIOR (detalle)'!$D:$D,"Salida")</f>
        <v/>
      </c>
      <c r="I13" s="4">
        <f>'Inventario ANTERIOR (borrado)'!G13</f>
        <v/>
      </c>
      <c r="J13" s="4" t="inlineStr"/>
      <c r="K13" s="4" t="n"/>
    </row>
    <row r="14">
      <c r="A14" s="4">
        <f>'Inventario ANTERIOR (borrado)'!A14</f>
        <v/>
      </c>
      <c r="B14" s="4">
        <f>'Inventario ANTERIOR (borrado)'!B14</f>
        <v/>
      </c>
      <c r="C14" s="6">
        <f>IFERROR(INDEX('Inventario ACTUAL (nuevo)'!$B:$B,MATCH(B14,'Inventario ACTUAL (nuevo)'!$B:$B,0)),"BOBINA DE CAMPO")</f>
        <v/>
      </c>
      <c r="D14" s="6">
        <f>IFERROR(INDEX('Inventario ACTUAL (nuevo)'!$A:$A,MATCH(B14,'Inventario ACTUAL (nuevo)'!$B:$B,0)),"INTMUR75GL041")</f>
        <v/>
      </c>
      <c r="E14" s="6" t="n">
        <v>100</v>
      </c>
      <c r="F14" s="4" t="n"/>
      <c r="G14" s="4">
        <f>SUMIFS('Movimientos ANTERIOR (detalle)'!$E:$E,'Movimientos ANTERIOR (detalle)'!$A:$A,A14,'Movimientos ANTERIOR (detalle)'!$D:$D,"Entrada")</f>
        <v/>
      </c>
      <c r="H14" s="4">
        <f>SUMIFS('Movimientos ANTERIOR (detalle)'!$E:$E,'Movimientos ANTERIOR (detalle)'!$A:$A,A14,'Movimientos ANTERIOR (detalle)'!$D:$D,"Salida")</f>
        <v/>
      </c>
      <c r="I14" s="4">
        <f>'Inventario ANTERIOR (borrado)'!G14</f>
        <v/>
      </c>
      <c r="J14" s="4" t="inlineStr"/>
      <c r="K14" s="4" t="n"/>
    </row>
    <row r="15">
      <c r="A15" s="4">
        <f>'Inventario ANTERIOR (borrado)'!A15</f>
        <v/>
      </c>
      <c r="B15" s="4">
        <f>'Inventario ANTERIOR (borrado)'!B15</f>
        <v/>
      </c>
      <c r="C15" s="4">
        <f>IFERROR(INDEX('Inventario ACTUAL (nuevo)'!$B:$B,MATCH(B15,'Inventario ACTUAL (nuevo)'!$B:$B,0)),"")</f>
        <v/>
      </c>
      <c r="D15" s="4">
        <f>IFERROR(INDEX('Inventario ACTUAL (nuevo)'!$A:$A,MATCH(B15,'Inventario ACTUAL (nuevo)'!$B:$B,0)),"")</f>
        <v/>
      </c>
      <c r="E15" s="4" t="n">
        <v>59</v>
      </c>
      <c r="F15" s="4" t="n"/>
      <c r="G15" s="4">
        <f>SUMIFS('Movimientos ANTERIOR (detalle)'!$E:$E,'Movimientos ANTERIOR (detalle)'!$A:$A,A15,'Movimientos ANTERIOR (detalle)'!$D:$D,"Entrada")</f>
        <v/>
      </c>
      <c r="H15" s="4">
        <f>SUMIFS('Movimientos ANTERIOR (detalle)'!$E:$E,'Movimientos ANTERIOR (detalle)'!$A:$A,A15,'Movimientos ANTERIOR (detalle)'!$D:$D,"Salida")</f>
        <v/>
      </c>
      <c r="I15" s="4">
        <f>'Inventario ANTERIOR (borrado)'!G15</f>
        <v/>
      </c>
      <c r="J15" s="4" t="inlineStr"/>
      <c r="K15" s="4" t="n"/>
    </row>
    <row r="16">
      <c r="A16" s="4">
        <f>'Inventario ANTERIOR (borrado)'!A16</f>
        <v/>
      </c>
      <c r="B16" s="4">
        <f>'Inventario ANTERIOR (borrado)'!B16</f>
        <v/>
      </c>
      <c r="C16" s="4">
        <f>IFERROR(INDEX('Inventario ACTUAL (nuevo)'!$B:$B,MATCH(B16,'Inventario ACTUAL (nuevo)'!$B:$B,0)),"")</f>
        <v/>
      </c>
      <c r="D16" s="4">
        <f>IFERROR(INDEX('Inventario ACTUAL (nuevo)'!$A:$A,MATCH(B16,'Inventario ACTUAL (nuevo)'!$B:$B,0)),"")</f>
        <v/>
      </c>
      <c r="E16" s="4" t="n">
        <v>59</v>
      </c>
      <c r="F16" s="4" t="n"/>
      <c r="G16" s="4">
        <f>SUMIFS('Movimientos ANTERIOR (detalle)'!$E:$E,'Movimientos ANTERIOR (detalle)'!$A:$A,A16,'Movimientos ANTERIOR (detalle)'!$D:$D,"Entrada")</f>
        <v/>
      </c>
      <c r="H16" s="4">
        <f>SUMIFS('Movimientos ANTERIOR (detalle)'!$E:$E,'Movimientos ANTERIOR (detalle)'!$A:$A,A16,'Movimientos ANTERIOR (detalle)'!$D:$D,"Salida")</f>
        <v/>
      </c>
      <c r="I16" s="4">
        <f>'Inventario ANTERIOR (borrado)'!G16</f>
        <v/>
      </c>
      <c r="J16" s="4" t="inlineStr"/>
      <c r="K16" s="4" t="n"/>
    </row>
    <row r="17">
      <c r="A17" s="4">
        <f>'Inventario ANTERIOR (borrado)'!A17</f>
        <v/>
      </c>
      <c r="B17" s="4">
        <f>'Inventario ANTERIOR (borrado)'!B17</f>
        <v/>
      </c>
      <c r="C17" s="7">
        <f>IFERROR(INDEX('Inventario ACTUAL (nuevo)'!$B:$B,MATCH(B17,'Inventario ACTUAL (nuevo)'!$B:$B,0)),"DISCO DE FRENO DELANTERO")</f>
        <v/>
      </c>
      <c r="D17" s="7">
        <f>IFERROR(INDEX('Inventario ACTUAL (nuevo)'!$A:$A,MATCH(B17,'Inventario ACTUAL (nuevo)'!$B:$B,0)),"INTMUR7VI1W4M")</f>
        <v/>
      </c>
      <c r="E17" s="7" t="n">
        <v>83</v>
      </c>
      <c r="F17" s="4" t="n"/>
      <c r="G17" s="4">
        <f>SUMIFS('Movimientos ANTERIOR (detalle)'!$E:$E,'Movimientos ANTERIOR (detalle)'!$A:$A,A17,'Movimientos ANTERIOR (detalle)'!$D:$D,"Entrada")</f>
        <v/>
      </c>
      <c r="H17" s="4">
        <f>SUMIFS('Movimientos ANTERIOR (detalle)'!$E:$E,'Movimientos ANTERIOR (detalle)'!$A:$A,A17,'Movimientos ANTERIOR (detalle)'!$D:$D,"Salida")</f>
        <v/>
      </c>
      <c r="I17" s="4">
        <f>'Inventario ANTERIOR (borrado)'!G17</f>
        <v/>
      </c>
      <c r="J17" s="4" t="inlineStr"/>
      <c r="K17" s="4" t="n"/>
    </row>
    <row r="18">
      <c r="A18" s="4">
        <f>'Inventario ANTERIOR (borrado)'!A18</f>
        <v/>
      </c>
      <c r="B18" s="4">
        <f>'Inventario ANTERIOR (borrado)'!B18</f>
        <v/>
      </c>
      <c r="C18" s="4">
        <f>IFERROR(INDEX('Inventario ACTUAL (nuevo)'!$B:$B,MATCH(B18,'Inventario ACTUAL (nuevo)'!$B:$B,0)),"")</f>
        <v/>
      </c>
      <c r="D18" s="4">
        <f>IFERROR(INDEX('Inventario ACTUAL (nuevo)'!$A:$A,MATCH(B18,'Inventario ACTUAL (nuevo)'!$B:$B,0)),"")</f>
        <v/>
      </c>
      <c r="E18" s="4" t="n">
        <v>48</v>
      </c>
      <c r="F18" s="4" t="n"/>
      <c r="G18" s="4">
        <f>SUMIFS('Movimientos ANTERIOR (detalle)'!$E:$E,'Movimientos ANTERIOR (detalle)'!$A:$A,A18,'Movimientos ANTERIOR (detalle)'!$D:$D,"Entrada")</f>
        <v/>
      </c>
      <c r="H18" s="4">
        <f>SUMIFS('Movimientos ANTERIOR (detalle)'!$E:$E,'Movimientos ANTERIOR (detalle)'!$A:$A,A18,'Movimientos ANTERIOR (detalle)'!$D:$D,"Salida")</f>
        <v/>
      </c>
      <c r="I18" s="4">
        <f>'Inventario ANTERIOR (borrado)'!G18</f>
        <v/>
      </c>
      <c r="J18" s="4" t="inlineStr"/>
      <c r="K18" s="4" t="n"/>
    </row>
    <row r="19">
      <c r="A19" s="4">
        <f>'Inventario ANTERIOR (borrado)'!A19</f>
        <v/>
      </c>
      <c r="B19" s="4">
        <f>'Inventario ANTERIOR (borrado)'!B19</f>
        <v/>
      </c>
      <c r="C19" s="4">
        <f>IFERROR(INDEX('Inventario ACTUAL (nuevo)'!$B:$B,MATCH(B19,'Inventario ACTUAL (nuevo)'!$B:$B,0)),"")</f>
        <v/>
      </c>
      <c r="D19" s="4">
        <f>IFERROR(INDEX('Inventario ACTUAL (nuevo)'!$A:$A,MATCH(B19,'Inventario ACTUAL (nuevo)'!$B:$B,0)),"")</f>
        <v/>
      </c>
      <c r="E19" s="4" t="n">
        <v>50</v>
      </c>
      <c r="F19" s="4" t="n"/>
      <c r="G19" s="4">
        <f>SUMIFS('Movimientos ANTERIOR (detalle)'!$E:$E,'Movimientos ANTERIOR (detalle)'!$A:$A,A19,'Movimientos ANTERIOR (detalle)'!$D:$D,"Entrada")</f>
        <v/>
      </c>
      <c r="H19" s="4">
        <f>SUMIFS('Movimientos ANTERIOR (detalle)'!$E:$E,'Movimientos ANTERIOR (detalle)'!$A:$A,A19,'Movimientos ANTERIOR (detalle)'!$D:$D,"Salida")</f>
        <v/>
      </c>
      <c r="I19" s="4">
        <f>'Inventario ANTERIOR (borrado)'!G19</f>
        <v/>
      </c>
      <c r="J19" s="4" t="inlineStr"/>
      <c r="K19" s="4" t="n"/>
    </row>
    <row r="20">
      <c r="A20" s="4">
        <f>'Inventario ANTERIOR (borrado)'!A20</f>
        <v/>
      </c>
      <c r="B20" s="4">
        <f>'Inventario ANTERIOR (borrado)'!B20</f>
        <v/>
      </c>
      <c r="C20" s="4">
        <f>IFERROR(INDEX('Inventario ACTUAL (nuevo)'!$B:$B,MATCH(B20,'Inventario ACTUAL (nuevo)'!$B:$B,0)),"")</f>
        <v/>
      </c>
      <c r="D20" s="4">
        <f>IFERROR(INDEX('Inventario ACTUAL (nuevo)'!$A:$A,MATCH(B20,'Inventario ACTUAL (nuevo)'!$B:$B,0)),"")</f>
        <v/>
      </c>
      <c r="E20" s="4" t="n">
        <v>48</v>
      </c>
      <c r="F20" s="4" t="n"/>
      <c r="G20" s="4">
        <f>SUMIFS('Movimientos ANTERIOR (detalle)'!$E:$E,'Movimientos ANTERIOR (detalle)'!$A:$A,A20,'Movimientos ANTERIOR (detalle)'!$D:$D,"Entrada")</f>
        <v/>
      </c>
      <c r="H20" s="4">
        <f>SUMIFS('Movimientos ANTERIOR (detalle)'!$E:$E,'Movimientos ANTERIOR (detalle)'!$A:$A,A20,'Movimientos ANTERIOR (detalle)'!$D:$D,"Salida")</f>
        <v/>
      </c>
      <c r="I20" s="4">
        <f>'Inventario ANTERIOR (borrado)'!G20</f>
        <v/>
      </c>
      <c r="J20" s="4" t="inlineStr"/>
      <c r="K20" s="4" t="n"/>
    </row>
    <row r="21">
      <c r="A21" s="4">
        <f>'Inventario ANTERIOR (borrado)'!A21</f>
        <v/>
      </c>
      <c r="B21" s="4">
        <f>'Inventario ANTERIOR (borrado)'!B21</f>
        <v/>
      </c>
      <c r="C21" s="7">
        <f>IFERROR(INDEX('Inventario ACTUAL (nuevo)'!$B:$B,MATCH(B21,'Inventario ACTUAL (nuevo)'!$B:$B,0)),"BUJIA")</f>
        <v/>
      </c>
      <c r="D21" s="7">
        <f>IFERROR(INDEX('Inventario ACTUAL (nuevo)'!$A:$A,MATCH(B21,'Inventario ACTUAL (nuevo)'!$B:$B,0)),"INTMUR7P7ZXKT")</f>
        <v/>
      </c>
      <c r="E21" s="7" t="n">
        <v>91</v>
      </c>
      <c r="F21" s="4" t="n"/>
      <c r="G21" s="4">
        <f>SUMIFS('Movimientos ANTERIOR (detalle)'!$E:$E,'Movimientos ANTERIOR (detalle)'!$A:$A,A21,'Movimientos ANTERIOR (detalle)'!$D:$D,"Entrada")</f>
        <v/>
      </c>
      <c r="H21" s="4">
        <f>SUMIFS('Movimientos ANTERIOR (detalle)'!$E:$E,'Movimientos ANTERIOR (detalle)'!$A:$A,A21,'Movimientos ANTERIOR (detalle)'!$D:$D,"Salida")</f>
        <v/>
      </c>
      <c r="I21" s="4">
        <f>'Inventario ANTERIOR (borrado)'!G21</f>
        <v/>
      </c>
      <c r="J21" s="4" t="inlineStr"/>
      <c r="K21" s="4" t="n"/>
    </row>
    <row r="22">
      <c r="A22" s="4">
        <f>'Inventario ANTERIOR (borrado)'!A22</f>
        <v/>
      </c>
      <c r="B22" s="4">
        <f>'Inventario ANTERIOR (borrado)'!B22</f>
        <v/>
      </c>
      <c r="C22" s="4">
        <f>IFERROR(INDEX('Inventario ACTUAL (nuevo)'!$B:$B,MATCH(B22,'Inventario ACTUAL (nuevo)'!$B:$B,0)),"")</f>
        <v/>
      </c>
      <c r="D22" s="4">
        <f>IFERROR(INDEX('Inventario ACTUAL (nuevo)'!$A:$A,MATCH(B22,'Inventario ACTUAL (nuevo)'!$B:$B,0)),"")</f>
        <v/>
      </c>
      <c r="E22" s="4" t="n">
        <v>52</v>
      </c>
      <c r="F22" s="4" t="n"/>
      <c r="G22" s="4">
        <f>SUMIFS('Movimientos ANTERIOR (detalle)'!$E:$E,'Movimientos ANTERIOR (detalle)'!$A:$A,A22,'Movimientos ANTERIOR (detalle)'!$D:$D,"Entrada")</f>
        <v/>
      </c>
      <c r="H22" s="4">
        <f>SUMIFS('Movimientos ANTERIOR (detalle)'!$E:$E,'Movimientos ANTERIOR (detalle)'!$A:$A,A22,'Movimientos ANTERIOR (detalle)'!$D:$D,"Salida")</f>
        <v/>
      </c>
      <c r="I22" s="4">
        <f>'Inventario ANTERIOR (borrado)'!G22</f>
        <v/>
      </c>
      <c r="J22" s="4" t="inlineStr"/>
      <c r="K22" s="4" t="n"/>
    </row>
    <row r="23">
      <c r="A23" s="4">
        <f>'Inventario ANTERIOR (borrado)'!A23</f>
        <v/>
      </c>
      <c r="B23" s="4">
        <f>'Inventario ANTERIOR (borrado)'!B23</f>
        <v/>
      </c>
      <c r="C23" s="6">
        <f>IFERROR(INDEX('Inventario ACTUAL (nuevo)'!$B:$B,MATCH(B23,'Inventario ACTUAL (nuevo)'!$B:$B,0)),"CABLE DE EMBRAGUE")</f>
        <v/>
      </c>
      <c r="D23" s="6">
        <f>IFERROR(INDEX('Inventario ACTUAL (nuevo)'!$A:$A,MATCH(B23,'Inventario ACTUAL (nuevo)'!$B:$B,0)),"INTMUR83JIS0S")</f>
        <v/>
      </c>
      <c r="E23" s="6" t="n">
        <v>100</v>
      </c>
      <c r="F23" s="4" t="n"/>
      <c r="G23" s="4">
        <f>SUMIFS('Movimientos ANTERIOR (detalle)'!$E:$E,'Movimientos ANTERIOR (detalle)'!$A:$A,A23,'Movimientos ANTERIOR (detalle)'!$D:$D,"Entrada")</f>
        <v/>
      </c>
      <c r="H23" s="4">
        <f>SUMIFS('Movimientos ANTERIOR (detalle)'!$E:$E,'Movimientos ANTERIOR (detalle)'!$A:$A,A23,'Movimientos ANTERIOR (detalle)'!$D:$D,"Salida")</f>
        <v/>
      </c>
      <c r="I23" s="4">
        <f>'Inventario ANTERIOR (borrado)'!G23</f>
        <v/>
      </c>
      <c r="J23" s="4" t="inlineStr"/>
      <c r="K23" s="4" t="n"/>
    </row>
    <row r="24">
      <c r="A24" s="4">
        <f>'Inventario ANTERIOR (borrado)'!A24</f>
        <v/>
      </c>
      <c r="B24" s="4">
        <f>'Inventario ANTERIOR (borrado)'!B24</f>
        <v/>
      </c>
      <c r="C24" s="7">
        <f>IFERROR(INDEX('Inventario ACTUAL (nuevo)'!$B:$B,MATCH(B24,'Inventario ACTUAL (nuevo)'!$B:$B,0)),"CABLE DE EMBRAGUE")</f>
        <v/>
      </c>
      <c r="D24" s="7">
        <f>IFERROR(INDEX('Inventario ACTUAL (nuevo)'!$A:$A,MATCH(B24,'Inventario ACTUAL (nuevo)'!$B:$B,0)),"INTMUR83JIS0S")</f>
        <v/>
      </c>
      <c r="E24" s="7" t="n">
        <v>85</v>
      </c>
      <c r="F24" s="4" t="n"/>
      <c r="G24" s="4">
        <f>SUMIFS('Movimientos ANTERIOR (detalle)'!$E:$E,'Movimientos ANTERIOR (detalle)'!$A:$A,A24,'Movimientos ANTERIOR (detalle)'!$D:$D,"Entrada")</f>
        <v/>
      </c>
      <c r="H24" s="4">
        <f>SUMIFS('Movimientos ANTERIOR (detalle)'!$E:$E,'Movimientos ANTERIOR (detalle)'!$A:$A,A24,'Movimientos ANTERIOR (detalle)'!$D:$D,"Salida")</f>
        <v/>
      </c>
      <c r="I24" s="4">
        <f>'Inventario ANTERIOR (borrado)'!G24</f>
        <v/>
      </c>
      <c r="J24" s="4" t="inlineStr"/>
      <c r="K24" s="4" t="n"/>
    </row>
    <row r="25">
      <c r="A25" s="4">
        <f>'Inventario ANTERIOR (borrado)'!A25</f>
        <v/>
      </c>
      <c r="B25" s="4">
        <f>'Inventario ANTERIOR (borrado)'!B25</f>
        <v/>
      </c>
      <c r="C25" s="5">
        <f>IFERROR(INDEX('Inventario ACTUAL (nuevo)'!$B:$B,MATCH(B25,'Inventario ACTUAL (nuevo)'!$B:$B,0)),"CABLE DE ACELERACION")</f>
        <v/>
      </c>
      <c r="D25" s="5">
        <f>IFERROR(INDEX('Inventario ACTUAL (nuevo)'!$A:$A,MATCH(B25,'Inventario ACTUAL (nuevo)'!$B:$B,0)),"INTMV1KJQIMPK")</f>
        <v/>
      </c>
      <c r="E25" s="5" t="n">
        <v>72</v>
      </c>
      <c r="F25" s="4" t="n"/>
      <c r="G25" s="4">
        <f>SUMIFS('Movimientos ANTERIOR (detalle)'!$E:$E,'Movimientos ANTERIOR (detalle)'!$A:$A,A25,'Movimientos ANTERIOR (detalle)'!$D:$D,"Entrada")</f>
        <v/>
      </c>
      <c r="H25" s="4">
        <f>SUMIFS('Movimientos ANTERIOR (detalle)'!$E:$E,'Movimientos ANTERIOR (detalle)'!$A:$A,A25,'Movimientos ANTERIOR (detalle)'!$D:$D,"Salida")</f>
        <v/>
      </c>
      <c r="I25" s="4">
        <f>'Inventario ANTERIOR (borrado)'!G25</f>
        <v/>
      </c>
      <c r="J25" s="4" t="inlineStr"/>
      <c r="K25" s="4" t="n"/>
    </row>
    <row r="26">
      <c r="A26" s="4">
        <f>'Inventario ANTERIOR (borrado)'!A26</f>
        <v/>
      </c>
      <c r="B26" s="4">
        <f>'Inventario ANTERIOR (borrado)'!B26</f>
        <v/>
      </c>
      <c r="C26" s="5">
        <f>IFERROR(INDEX('Inventario ACTUAL (nuevo)'!$B:$B,MATCH(B26,'Inventario ACTUAL (nuevo)'!$B:$B,0)),"CABLE DE VELOCÍMETRO")</f>
        <v/>
      </c>
      <c r="D26" s="5">
        <f>IFERROR(INDEX('Inventario ACTUAL (nuevo)'!$A:$A,MATCH(B26,'Inventario ACTUAL (nuevo)'!$B:$B,0)),"INTMUR81G5095")</f>
        <v/>
      </c>
      <c r="E26" s="5" t="n">
        <v>79</v>
      </c>
      <c r="F26" s="4" t="n"/>
      <c r="G26" s="4">
        <f>SUMIFS('Movimientos ANTERIOR (detalle)'!$E:$E,'Movimientos ANTERIOR (detalle)'!$A:$A,A26,'Movimientos ANTERIOR (detalle)'!$D:$D,"Entrada")</f>
        <v/>
      </c>
      <c r="H26" s="4">
        <f>SUMIFS('Movimientos ANTERIOR (detalle)'!$E:$E,'Movimientos ANTERIOR (detalle)'!$A:$A,A26,'Movimientos ANTERIOR (detalle)'!$D:$D,"Salida")</f>
        <v/>
      </c>
      <c r="I26" s="4">
        <f>'Inventario ANTERIOR (borrado)'!G26</f>
        <v/>
      </c>
      <c r="J26" s="4" t="inlineStr"/>
      <c r="K26" s="4" t="n"/>
    </row>
    <row r="27">
      <c r="A27" s="4">
        <f>'Inventario ANTERIOR (borrado)'!A27</f>
        <v/>
      </c>
      <c r="B27" s="4">
        <f>'Inventario ANTERIOR (borrado)'!B27</f>
        <v/>
      </c>
      <c r="C27" s="4">
        <f>IFERROR(INDEX('Inventario ACTUAL (nuevo)'!$B:$B,MATCH(B27,'Inventario ACTUAL (nuevo)'!$B:$B,0)),"")</f>
        <v/>
      </c>
      <c r="D27" s="4">
        <f>IFERROR(INDEX('Inventario ACTUAL (nuevo)'!$A:$A,MATCH(B27,'Inventario ACTUAL (nuevo)'!$B:$B,0)),"")</f>
        <v/>
      </c>
      <c r="E27" s="4" t="n">
        <v>54</v>
      </c>
      <c r="F27" s="4" t="n"/>
      <c r="G27" s="4">
        <f>SUMIFS('Movimientos ANTERIOR (detalle)'!$E:$E,'Movimientos ANTERIOR (detalle)'!$A:$A,A27,'Movimientos ANTERIOR (detalle)'!$D:$D,"Entrada")</f>
        <v/>
      </c>
      <c r="H27" s="4">
        <f>SUMIFS('Movimientos ANTERIOR (detalle)'!$E:$E,'Movimientos ANTERIOR (detalle)'!$A:$A,A27,'Movimientos ANTERIOR (detalle)'!$D:$D,"Salida")</f>
        <v/>
      </c>
      <c r="I27" s="4">
        <f>'Inventario ANTERIOR (borrado)'!G27</f>
        <v/>
      </c>
      <c r="J27" s="4" t="inlineStr"/>
      <c r="K27" s="4" t="n"/>
    </row>
    <row r="28">
      <c r="A28" s="4">
        <f>'Inventario ANTERIOR (borrado)'!A28</f>
        <v/>
      </c>
      <c r="B28" s="4">
        <f>'Inventario ANTERIOR (borrado)'!B28</f>
        <v/>
      </c>
      <c r="C28" s="4">
        <f>IFERROR(INDEX('Inventario ACTUAL (nuevo)'!$B:$B,MATCH(B28,'Inventario ACTUAL (nuevo)'!$B:$B,0)),"")</f>
        <v/>
      </c>
      <c r="D28" s="4">
        <f>IFERROR(INDEX('Inventario ACTUAL (nuevo)'!$A:$A,MATCH(B28,'Inventario ACTUAL (nuevo)'!$B:$B,0)),"")</f>
        <v/>
      </c>
      <c r="E28" s="4" t="n">
        <v>55</v>
      </c>
      <c r="F28" s="4" t="n"/>
      <c r="G28" s="4">
        <f>SUMIFS('Movimientos ANTERIOR (detalle)'!$E:$E,'Movimientos ANTERIOR (detalle)'!$A:$A,A28,'Movimientos ANTERIOR (detalle)'!$D:$D,"Entrada")</f>
        <v/>
      </c>
      <c r="H28" s="4">
        <f>SUMIFS('Movimientos ANTERIOR (detalle)'!$E:$E,'Movimientos ANTERIOR (detalle)'!$A:$A,A28,'Movimientos ANTERIOR (detalle)'!$D:$D,"Salida")</f>
        <v/>
      </c>
      <c r="I28" s="4">
        <f>'Inventario ANTERIOR (borrado)'!G28</f>
        <v/>
      </c>
      <c r="J28" s="4" t="inlineStr"/>
      <c r="K28" s="4" t="n"/>
    </row>
    <row r="29">
      <c r="A29" s="4">
        <f>'Inventario ANTERIOR (borrado)'!A29</f>
        <v/>
      </c>
      <c r="B29" s="4">
        <f>'Inventario ANTERIOR (borrado)'!B29</f>
        <v/>
      </c>
      <c r="C29" s="4">
        <f>IFERROR(INDEX('Inventario ACTUAL (nuevo)'!$B:$B,MATCH(B29,'Inventario ACTUAL (nuevo)'!$B:$B,0)),"")</f>
        <v/>
      </c>
      <c r="D29" s="4">
        <f>IFERROR(INDEX('Inventario ACTUAL (nuevo)'!$A:$A,MATCH(B29,'Inventario ACTUAL (nuevo)'!$B:$B,0)),"")</f>
        <v/>
      </c>
      <c r="E29" s="4" t="n">
        <v>65</v>
      </c>
      <c r="F29" s="4" t="n"/>
      <c r="G29" s="4">
        <f>SUMIFS('Movimientos ANTERIOR (detalle)'!$E:$E,'Movimientos ANTERIOR (detalle)'!$A:$A,A29,'Movimientos ANTERIOR (detalle)'!$D:$D,"Entrada")</f>
        <v/>
      </c>
      <c r="H29" s="4">
        <f>SUMIFS('Movimientos ANTERIOR (detalle)'!$E:$E,'Movimientos ANTERIOR (detalle)'!$A:$A,A29,'Movimientos ANTERIOR (detalle)'!$D:$D,"Salida")</f>
        <v/>
      </c>
      <c r="I29" s="4">
        <f>'Inventario ANTERIOR (borrado)'!G29</f>
        <v/>
      </c>
      <c r="J29" s="4" t="inlineStr"/>
      <c r="K29" s="4" t="n"/>
    </row>
    <row r="30">
      <c r="A30" s="4">
        <f>'Inventario ANTERIOR (borrado)'!A30</f>
        <v/>
      </c>
      <c r="B30" s="4">
        <f>'Inventario ANTERIOR (borrado)'!B30</f>
        <v/>
      </c>
      <c r="C30" s="6">
        <f>IFERROR(INDEX('Inventario ACTUAL (nuevo)'!$B:$B,MATCH(B30,'Inventario ACTUAL (nuevo)'!$B:$B,0)),"CAJA DE CAMBIO")</f>
        <v/>
      </c>
      <c r="D30" s="6">
        <f>IFERROR(INDEX('Inventario ACTUAL (nuevo)'!$A:$A,MATCH(B30,'Inventario ACTUAL (nuevo)'!$B:$B,0)),"INTMUR7USTJEU")</f>
        <v/>
      </c>
      <c r="E30" s="6" t="n">
        <v>100</v>
      </c>
      <c r="F30" s="4" t="n"/>
      <c r="G30" s="4">
        <f>SUMIFS('Movimientos ANTERIOR (detalle)'!$E:$E,'Movimientos ANTERIOR (detalle)'!$A:$A,A30,'Movimientos ANTERIOR (detalle)'!$D:$D,"Entrada")</f>
        <v/>
      </c>
      <c r="H30" s="4">
        <f>SUMIFS('Movimientos ANTERIOR (detalle)'!$E:$E,'Movimientos ANTERIOR (detalle)'!$A:$A,A30,'Movimientos ANTERIOR (detalle)'!$D:$D,"Salida")</f>
        <v/>
      </c>
      <c r="I30" s="4">
        <f>'Inventario ANTERIOR (borrado)'!G30</f>
        <v/>
      </c>
      <c r="J30" s="4" t="inlineStr"/>
      <c r="K30" s="4" t="n"/>
    </row>
    <row r="31">
      <c r="A31" s="4">
        <f>'Inventario ANTERIOR (borrado)'!A31</f>
        <v/>
      </c>
      <c r="B31" s="4">
        <f>'Inventario ANTERIOR (borrado)'!B31</f>
        <v/>
      </c>
      <c r="C31" s="5">
        <f>IFERROR(INDEX('Inventario ACTUAL (nuevo)'!$B:$B,MATCH(B31,'Inventario ACTUAL (nuevo)'!$B:$B,0)),"CABLE DE ACELERACION")</f>
        <v/>
      </c>
      <c r="D31" s="5">
        <f>IFERROR(INDEX('Inventario ACTUAL (nuevo)'!$A:$A,MATCH(B31,'Inventario ACTUAL (nuevo)'!$B:$B,0)),"INTMV1KJQIMPK")</f>
        <v/>
      </c>
      <c r="E31" s="5" t="n">
        <v>74</v>
      </c>
      <c r="F31" s="4" t="n"/>
      <c r="G31" s="4">
        <f>SUMIFS('Movimientos ANTERIOR (detalle)'!$E:$E,'Movimientos ANTERIOR (detalle)'!$A:$A,A31,'Movimientos ANTERIOR (detalle)'!$D:$D,"Entrada")</f>
        <v/>
      </c>
      <c r="H31" s="4">
        <f>SUMIFS('Movimientos ANTERIOR (detalle)'!$E:$E,'Movimientos ANTERIOR (detalle)'!$A:$A,A31,'Movimientos ANTERIOR (detalle)'!$D:$D,"Salida")</f>
        <v/>
      </c>
      <c r="I31" s="4">
        <f>'Inventario ANTERIOR (borrado)'!G31</f>
        <v/>
      </c>
      <c r="J31" s="4" t="inlineStr"/>
      <c r="K31" s="4" t="n"/>
    </row>
    <row r="32">
      <c r="A32" s="4">
        <f>'Inventario ANTERIOR (borrado)'!A32</f>
        <v/>
      </c>
      <c r="B32" s="4">
        <f>'Inventario ANTERIOR (borrado)'!B32</f>
        <v/>
      </c>
      <c r="C32" s="4">
        <f>IFERROR(INDEX('Inventario ACTUAL (nuevo)'!$B:$B,MATCH(B32,'Inventario ACTUAL (nuevo)'!$B:$B,0)),"")</f>
        <v/>
      </c>
      <c r="D32" s="4">
        <f>IFERROR(INDEX('Inventario ACTUAL (nuevo)'!$A:$A,MATCH(B32,'Inventario ACTUAL (nuevo)'!$B:$B,0)),"")</f>
        <v/>
      </c>
      <c r="E32" s="4" t="n">
        <v>55</v>
      </c>
      <c r="F32" s="4" t="n"/>
      <c r="G32" s="4">
        <f>SUMIFS('Movimientos ANTERIOR (detalle)'!$E:$E,'Movimientos ANTERIOR (detalle)'!$A:$A,A32,'Movimientos ANTERIOR (detalle)'!$D:$D,"Entrada")</f>
        <v/>
      </c>
      <c r="H32" s="4">
        <f>SUMIFS('Movimientos ANTERIOR (detalle)'!$E:$E,'Movimientos ANTERIOR (detalle)'!$A:$A,A32,'Movimientos ANTERIOR (detalle)'!$D:$D,"Salida")</f>
        <v/>
      </c>
      <c r="I32" s="4">
        <f>'Inventario ANTERIOR (borrado)'!G32</f>
        <v/>
      </c>
      <c r="J32" s="4" t="inlineStr"/>
      <c r="K32" s="4" t="n"/>
    </row>
    <row r="33">
      <c r="A33" s="4">
        <f>'Inventario ANTERIOR (borrado)'!A33</f>
        <v/>
      </c>
      <c r="B33" s="4">
        <f>'Inventario ANTERIOR (borrado)'!B33</f>
        <v/>
      </c>
      <c r="C33" s="4">
        <f>IFERROR(INDEX('Inventario ACTUAL (nuevo)'!$B:$B,MATCH(B33,'Inventario ACTUAL (nuevo)'!$B:$B,0)),"")</f>
        <v/>
      </c>
      <c r="D33" s="4">
        <f>IFERROR(INDEX('Inventario ACTUAL (nuevo)'!$A:$A,MATCH(B33,'Inventario ACTUAL (nuevo)'!$B:$B,0)),"")</f>
        <v/>
      </c>
      <c r="E33" s="4" t="n">
        <v>52</v>
      </c>
      <c r="F33" s="4" t="n"/>
      <c r="G33" s="4">
        <f>SUMIFS('Movimientos ANTERIOR (detalle)'!$E:$E,'Movimientos ANTERIOR (detalle)'!$A:$A,A33,'Movimientos ANTERIOR (detalle)'!$D:$D,"Entrada")</f>
        <v/>
      </c>
      <c r="H33" s="4">
        <f>SUMIFS('Movimientos ANTERIOR (detalle)'!$E:$E,'Movimientos ANTERIOR (detalle)'!$A:$A,A33,'Movimientos ANTERIOR (detalle)'!$D:$D,"Salida")</f>
        <v/>
      </c>
      <c r="I33" s="4">
        <f>'Inventario ANTERIOR (borrado)'!G33</f>
        <v/>
      </c>
      <c r="J33" s="4" t="inlineStr"/>
      <c r="K33" s="4" t="n"/>
    </row>
    <row r="34">
      <c r="A34" s="4">
        <f>'Inventario ANTERIOR (borrado)'!A34</f>
        <v/>
      </c>
      <c r="B34" s="4">
        <f>'Inventario ANTERIOR (borrado)'!B34</f>
        <v/>
      </c>
      <c r="C34" s="7">
        <f>IFERROR(INDEX('Inventario ACTUAL (nuevo)'!$B:$B,MATCH(B34,'Inventario ACTUAL (nuevo)'!$B:$B,0)),"CAUCHO TANQUE GN125")</f>
        <v/>
      </c>
      <c r="D34" s="7">
        <f>IFERROR(INDEX('Inventario ACTUAL (nuevo)'!$A:$A,MATCH(B34,'Inventario ACTUAL (nuevo)'!$B:$B,0)),"INTMUR7ZJPNWD")</f>
        <v/>
      </c>
      <c r="E34" s="7" t="n">
        <v>84</v>
      </c>
      <c r="F34" s="4" t="n"/>
      <c r="G34" s="4">
        <f>SUMIFS('Movimientos ANTERIOR (detalle)'!$E:$E,'Movimientos ANTERIOR (detalle)'!$A:$A,A34,'Movimientos ANTERIOR (detalle)'!$D:$D,"Entrada")</f>
        <v/>
      </c>
      <c r="H34" s="4">
        <f>SUMIFS('Movimientos ANTERIOR (detalle)'!$E:$E,'Movimientos ANTERIOR (detalle)'!$A:$A,A34,'Movimientos ANTERIOR (detalle)'!$D:$D,"Salida")</f>
        <v/>
      </c>
      <c r="I34" s="4">
        <f>'Inventario ANTERIOR (borrado)'!G34</f>
        <v/>
      </c>
      <c r="J34" s="4" t="inlineStr"/>
      <c r="K34" s="4" t="n"/>
    </row>
    <row r="35">
      <c r="A35" s="4">
        <f>'Inventario ANTERIOR (borrado)'!A35</f>
        <v/>
      </c>
      <c r="B35" s="4">
        <f>'Inventario ANTERIOR (borrado)'!B35</f>
        <v/>
      </c>
      <c r="C35" s="7">
        <f>IFERROR(INDEX('Inventario ACTUAL (nuevo)'!$B:$B,MATCH(B35,'Inventario ACTUAL (nuevo)'!$B:$B,0)),"CAUCHO DE VALVULA")</f>
        <v/>
      </c>
      <c r="D35" s="7">
        <f>IFERROR(INDEX('Inventario ACTUAL (nuevo)'!$A:$A,MATCH(B35,'Inventario ACTUAL (nuevo)'!$B:$B,0)),"INTMUR7OI4SFT")</f>
        <v/>
      </c>
      <c r="E35" s="7" t="n">
        <v>97</v>
      </c>
      <c r="F35" s="4" t="n"/>
      <c r="G35" s="4">
        <f>SUMIFS('Movimientos ANTERIOR (detalle)'!$E:$E,'Movimientos ANTERIOR (detalle)'!$A:$A,A35,'Movimientos ANTERIOR (detalle)'!$D:$D,"Entrada")</f>
        <v/>
      </c>
      <c r="H35" s="4">
        <f>SUMIFS('Movimientos ANTERIOR (detalle)'!$E:$E,'Movimientos ANTERIOR (detalle)'!$A:$A,A35,'Movimientos ANTERIOR (detalle)'!$D:$D,"Salida")</f>
        <v/>
      </c>
      <c r="I35" s="4">
        <f>'Inventario ANTERIOR (borrado)'!G35</f>
        <v/>
      </c>
      <c r="J35" s="4" t="inlineStr"/>
      <c r="K35" s="4" t="n"/>
    </row>
    <row r="36">
      <c r="A36" s="4">
        <f>'Inventario ANTERIOR (borrado)'!A36</f>
        <v/>
      </c>
      <c r="B36" s="4">
        <f>'Inventario ANTERIOR (borrado)'!B36</f>
        <v/>
      </c>
      <c r="C36" s="6">
        <f>IFERROR(INDEX('Inventario ACTUAL (nuevo)'!$B:$B,MATCH(B36,'Inventario ACTUAL (nuevo)'!$B:$B,0)),"CDI")</f>
        <v/>
      </c>
      <c r="D36" s="6">
        <f>IFERROR(INDEX('Inventario ACTUAL (nuevo)'!$A:$A,MATCH(B36,'Inventario ACTUAL (nuevo)'!$B:$B,0)),"INTMUR7PL65J9")</f>
        <v/>
      </c>
      <c r="E36" s="6" t="n">
        <v>100</v>
      </c>
      <c r="F36" s="4" t="n"/>
      <c r="G36" s="4">
        <f>SUMIFS('Movimientos ANTERIOR (detalle)'!$E:$E,'Movimientos ANTERIOR (detalle)'!$A:$A,A36,'Movimientos ANTERIOR (detalle)'!$D:$D,"Entrada")</f>
        <v/>
      </c>
      <c r="H36" s="4">
        <f>SUMIFS('Movimientos ANTERIOR (detalle)'!$E:$E,'Movimientos ANTERIOR (detalle)'!$A:$A,A36,'Movimientos ANTERIOR (detalle)'!$D:$D,"Salida")</f>
        <v/>
      </c>
      <c r="I36" s="4">
        <f>'Inventario ANTERIOR (borrado)'!G36</f>
        <v/>
      </c>
      <c r="J36" s="4" t="inlineStr"/>
      <c r="K36" s="4" t="n"/>
    </row>
    <row r="37">
      <c r="A37" s="4">
        <f>'Inventario ANTERIOR (borrado)'!A37</f>
        <v/>
      </c>
      <c r="B37" s="4">
        <f>'Inventario ANTERIOR (borrado)'!B37</f>
        <v/>
      </c>
      <c r="C37" s="5">
        <f>IFERROR(INDEX('Inventario ACTUAL (nuevo)'!$B:$B,MATCH(B37,'Inventario ACTUAL (nuevo)'!$B:$B,0)),"CILINDRO")</f>
        <v/>
      </c>
      <c r="D37" s="5">
        <f>IFERROR(INDEX('Inventario ACTUAL (nuevo)'!$A:$A,MATCH(B37,'Inventario ACTUAL (nuevo)'!$B:$B,0)),"INTMUR7NPK0NF")</f>
        <v/>
      </c>
      <c r="E37" s="5" t="n">
        <v>73</v>
      </c>
      <c r="F37" s="4" t="n"/>
      <c r="G37" s="4">
        <f>SUMIFS('Movimientos ANTERIOR (detalle)'!$E:$E,'Movimientos ANTERIOR (detalle)'!$A:$A,A37,'Movimientos ANTERIOR (detalle)'!$D:$D,"Entrada")</f>
        <v/>
      </c>
      <c r="H37" s="4">
        <f>SUMIFS('Movimientos ANTERIOR (detalle)'!$E:$E,'Movimientos ANTERIOR (detalle)'!$A:$A,A37,'Movimientos ANTERIOR (detalle)'!$D:$D,"Salida")</f>
        <v/>
      </c>
      <c r="I37" s="4">
        <f>'Inventario ANTERIOR (borrado)'!G37</f>
        <v/>
      </c>
      <c r="J37" s="4" t="inlineStr"/>
      <c r="K37" s="4" t="n"/>
    </row>
    <row r="38">
      <c r="A38" s="4">
        <f>'Inventario ANTERIOR (borrado)'!A38</f>
        <v/>
      </c>
      <c r="B38" s="4">
        <f>'Inventario ANTERIOR (borrado)'!B38</f>
        <v/>
      </c>
      <c r="C38" s="4">
        <f>IFERROR(INDEX('Inventario ACTUAL (nuevo)'!$B:$B,MATCH(B38,'Inventario ACTUAL (nuevo)'!$B:$B,0)),"")</f>
        <v/>
      </c>
      <c r="D38" s="4">
        <f>IFERROR(INDEX('Inventario ACTUAL (nuevo)'!$A:$A,MATCH(B38,'Inventario ACTUAL (nuevo)'!$B:$B,0)),"")</f>
        <v/>
      </c>
      <c r="E38" s="4" t="n">
        <v>58</v>
      </c>
      <c r="F38" s="4" t="n"/>
      <c r="G38" s="4">
        <f>SUMIFS('Movimientos ANTERIOR (detalle)'!$E:$E,'Movimientos ANTERIOR (detalle)'!$A:$A,A38,'Movimientos ANTERIOR (detalle)'!$D:$D,"Entrada")</f>
        <v/>
      </c>
      <c r="H38" s="4">
        <f>SUMIFS('Movimientos ANTERIOR (detalle)'!$E:$E,'Movimientos ANTERIOR (detalle)'!$A:$A,A38,'Movimientos ANTERIOR (detalle)'!$D:$D,"Salida")</f>
        <v/>
      </c>
      <c r="I38" s="4">
        <f>'Inventario ANTERIOR (borrado)'!G38</f>
        <v/>
      </c>
      <c r="J38" s="4" t="inlineStr"/>
      <c r="K38" s="4" t="n"/>
    </row>
    <row r="39">
      <c r="A39" s="4">
        <f>'Inventario ANTERIOR (borrado)'!A39</f>
        <v/>
      </c>
      <c r="B39" s="4">
        <f>'Inventario ANTERIOR (borrado)'!B39</f>
        <v/>
      </c>
      <c r="C39" s="6">
        <f>IFERROR(INDEX('Inventario ACTUAL (nuevo)'!$B:$B,MATCH(B39,'Inventario ACTUAL (nuevo)'!$B:$B,0)),"DISCO DE FRENO DELANTERO")</f>
        <v/>
      </c>
      <c r="D39" s="6">
        <f>IFERROR(INDEX('Inventario ACTUAL (nuevo)'!$A:$A,MATCH(B39,'Inventario ACTUAL (nuevo)'!$B:$B,0)),"INTMUR7VI1W4M")</f>
        <v/>
      </c>
      <c r="E39" s="6" t="n">
        <v>100</v>
      </c>
      <c r="F39" s="4" t="n"/>
      <c r="G39" s="4">
        <f>SUMIFS('Movimientos ANTERIOR (detalle)'!$E:$E,'Movimientos ANTERIOR (detalle)'!$A:$A,A39,'Movimientos ANTERIOR (detalle)'!$D:$D,"Entrada")</f>
        <v/>
      </c>
      <c r="H39" s="4">
        <f>SUMIFS('Movimientos ANTERIOR (detalle)'!$E:$E,'Movimientos ANTERIOR (detalle)'!$A:$A,A39,'Movimientos ANTERIOR (detalle)'!$D:$D,"Salida")</f>
        <v/>
      </c>
      <c r="I39" s="4">
        <f>'Inventario ANTERIOR (borrado)'!G39</f>
        <v/>
      </c>
      <c r="J39" s="4" t="inlineStr"/>
      <c r="K39" s="4" t="n"/>
    </row>
    <row r="40">
      <c r="A40" s="4">
        <f>'Inventario ANTERIOR (borrado)'!A40</f>
        <v/>
      </c>
      <c r="B40" s="4">
        <f>'Inventario ANTERIOR (borrado)'!B40</f>
        <v/>
      </c>
      <c r="C40" s="6">
        <f>IFERROR(INDEX('Inventario ACTUAL (nuevo)'!$B:$B,MATCH(B40,'Inventario ACTUAL (nuevo)'!$B:$B,0)),"DOBLE PATA")</f>
        <v/>
      </c>
      <c r="D40" s="6">
        <f>IFERROR(INDEX('Inventario ACTUAL (nuevo)'!$A:$A,MATCH(B40,'Inventario ACTUAL (nuevo)'!$B:$B,0)),"INTMUR73NHKYJ")</f>
        <v/>
      </c>
      <c r="E40" s="6" t="n">
        <v>100</v>
      </c>
      <c r="F40" s="4" t="n"/>
      <c r="G40" s="4">
        <f>SUMIFS('Movimientos ANTERIOR (detalle)'!$E:$E,'Movimientos ANTERIOR (detalle)'!$A:$A,A40,'Movimientos ANTERIOR (detalle)'!$D:$D,"Entrada")</f>
        <v/>
      </c>
      <c r="H40" s="4">
        <f>SUMIFS('Movimientos ANTERIOR (detalle)'!$E:$E,'Movimientos ANTERIOR (detalle)'!$A:$A,A40,'Movimientos ANTERIOR (detalle)'!$D:$D,"Salida")</f>
        <v/>
      </c>
      <c r="I40" s="4">
        <f>'Inventario ANTERIOR (borrado)'!G40</f>
        <v/>
      </c>
      <c r="J40" s="4" t="inlineStr"/>
      <c r="K40" s="4" t="n"/>
    </row>
    <row r="41">
      <c r="A41" s="4">
        <f>'Inventario ANTERIOR (borrado)'!A41</f>
        <v/>
      </c>
      <c r="B41" s="4">
        <f>'Inventario ANTERIOR (borrado)'!B41</f>
        <v/>
      </c>
      <c r="C41" s="7">
        <f>IFERROR(INDEX('Inventario ACTUAL (nuevo)'!$B:$B,MATCH(B41,'Inventario ACTUAL (nuevo)'!$B:$B,0)),"CAJA DE CAMBIO")</f>
        <v/>
      </c>
      <c r="D41" s="7">
        <f>IFERROR(INDEX('Inventario ACTUAL (nuevo)'!$A:$A,MATCH(B41,'Inventario ACTUAL (nuevo)'!$B:$B,0)),"INTMUR7USTJEU")</f>
        <v/>
      </c>
      <c r="E41" s="7" t="n">
        <v>81</v>
      </c>
      <c r="F41" s="4" t="n"/>
      <c r="G41" s="4">
        <f>SUMIFS('Movimientos ANTERIOR (detalle)'!$E:$E,'Movimientos ANTERIOR (detalle)'!$A:$A,A41,'Movimientos ANTERIOR (detalle)'!$D:$D,"Entrada")</f>
        <v/>
      </c>
      <c r="H41" s="4">
        <f>SUMIFS('Movimientos ANTERIOR (detalle)'!$E:$E,'Movimientos ANTERIOR (detalle)'!$A:$A,A41,'Movimientos ANTERIOR (detalle)'!$D:$D,"Salida")</f>
        <v/>
      </c>
      <c r="I41" s="4">
        <f>'Inventario ANTERIOR (borrado)'!G41</f>
        <v/>
      </c>
      <c r="J41" s="4" t="inlineStr"/>
      <c r="K41" s="4" t="n"/>
    </row>
    <row r="42">
      <c r="A42" s="4">
        <f>'Inventario ANTERIOR (borrado)'!A42</f>
        <v/>
      </c>
      <c r="B42" s="4">
        <f>'Inventario ANTERIOR (borrado)'!B42</f>
        <v/>
      </c>
      <c r="C42" s="6">
        <f>IFERROR(INDEX('Inventario ACTUAL (nuevo)'!$B:$B,MATCH(B42,'Inventario ACTUAL (nuevo)'!$B:$B,0)),"Eje DELANTERO")</f>
        <v/>
      </c>
      <c r="D42" s="6">
        <f>IFERROR(INDEX('Inventario ACTUAL (nuevo)'!$A:$A,MATCH(B42,'Inventario ACTUAL (nuevo)'!$B:$B,0)),"INTMUWUAG0EKQ")</f>
        <v/>
      </c>
      <c r="E42" s="6" t="n">
        <v>100</v>
      </c>
      <c r="F42" s="4" t="n"/>
      <c r="G42" s="4">
        <f>SUMIFS('Movimientos ANTERIOR (detalle)'!$E:$E,'Movimientos ANTERIOR (detalle)'!$A:$A,A42,'Movimientos ANTERIOR (detalle)'!$D:$D,"Entrada")</f>
        <v/>
      </c>
      <c r="H42" s="4">
        <f>SUMIFS('Movimientos ANTERIOR (detalle)'!$E:$E,'Movimientos ANTERIOR (detalle)'!$A:$A,A42,'Movimientos ANTERIOR (detalle)'!$D:$D,"Salida")</f>
        <v/>
      </c>
      <c r="I42" s="4">
        <f>'Inventario ANTERIOR (borrado)'!G42</f>
        <v/>
      </c>
      <c r="J42" s="4" t="inlineStr"/>
      <c r="K42" s="4" t="n"/>
    </row>
    <row r="43">
      <c r="A43" s="4">
        <f>'Inventario ANTERIOR (borrado)'!A43</f>
        <v/>
      </c>
      <c r="B43" s="4">
        <f>'Inventario ANTERIOR (borrado)'!B43</f>
        <v/>
      </c>
      <c r="C43" s="4">
        <f>IFERROR(INDEX('Inventario ACTUAL (nuevo)'!$B:$B,MATCH(B43,'Inventario ACTUAL (nuevo)'!$B:$B,0)),"")</f>
        <v/>
      </c>
      <c r="D43" s="4">
        <f>IFERROR(INDEX('Inventario ACTUAL (nuevo)'!$A:$A,MATCH(B43,'Inventario ACTUAL (nuevo)'!$B:$B,0)),"")</f>
        <v/>
      </c>
      <c r="E43" s="4" t="n">
        <v>67</v>
      </c>
      <c r="F43" s="4" t="n"/>
      <c r="G43" s="4">
        <f>SUMIFS('Movimientos ANTERIOR (detalle)'!$E:$E,'Movimientos ANTERIOR (detalle)'!$A:$A,A43,'Movimientos ANTERIOR (detalle)'!$D:$D,"Entrada")</f>
        <v/>
      </c>
      <c r="H43" s="4">
        <f>SUMIFS('Movimientos ANTERIOR (detalle)'!$E:$E,'Movimientos ANTERIOR (detalle)'!$A:$A,A43,'Movimientos ANTERIOR (detalle)'!$D:$D,"Salida")</f>
        <v/>
      </c>
      <c r="I43" s="4">
        <f>'Inventario ANTERIOR (borrado)'!G43</f>
        <v/>
      </c>
      <c r="J43" s="4" t="inlineStr"/>
      <c r="K43" s="4" t="n"/>
    </row>
    <row r="44">
      <c r="A44" s="4">
        <f>'Inventario ANTERIOR (borrado)'!A44</f>
        <v/>
      </c>
      <c r="B44" s="4">
        <f>'Inventario ANTERIOR (borrado)'!B44</f>
        <v/>
      </c>
      <c r="C44" s="4">
        <f>IFERROR(INDEX('Inventario ACTUAL (nuevo)'!$B:$B,MATCH(B44,'Inventario ACTUAL (nuevo)'!$B:$B,0)),"")</f>
        <v/>
      </c>
      <c r="D44" s="4">
        <f>IFERROR(INDEX('Inventario ACTUAL (nuevo)'!$A:$A,MATCH(B44,'Inventario ACTUAL (nuevo)'!$B:$B,0)),"")</f>
        <v/>
      </c>
      <c r="E44" s="4" t="n">
        <v>67</v>
      </c>
      <c r="F44" s="4" t="n"/>
      <c r="G44" s="4">
        <f>SUMIFS('Movimientos ANTERIOR (detalle)'!$E:$E,'Movimientos ANTERIOR (detalle)'!$A:$A,A44,'Movimientos ANTERIOR (detalle)'!$D:$D,"Entrada")</f>
        <v/>
      </c>
      <c r="H44" s="4">
        <f>SUMIFS('Movimientos ANTERIOR (detalle)'!$E:$E,'Movimientos ANTERIOR (detalle)'!$A:$A,A44,'Movimientos ANTERIOR (detalle)'!$D:$D,"Salida")</f>
        <v/>
      </c>
      <c r="I44" s="4">
        <f>'Inventario ANTERIOR (borrado)'!G44</f>
        <v/>
      </c>
      <c r="J44" s="4" t="inlineStr"/>
      <c r="K44" s="4" t="n"/>
    </row>
    <row r="45">
      <c r="A45" s="4">
        <f>'Inventario ANTERIOR (borrado)'!A45</f>
        <v/>
      </c>
      <c r="B45" s="4">
        <f>'Inventario ANTERIOR (borrado)'!B45</f>
        <v/>
      </c>
      <c r="C45" s="4">
        <f>IFERROR(INDEX('Inventario ACTUAL (nuevo)'!$B:$B,MATCH(B45,'Inventario ACTUAL (nuevo)'!$B:$B,0)),"")</f>
        <v/>
      </c>
      <c r="D45" s="4">
        <f>IFERROR(INDEX('Inventario ACTUAL (nuevo)'!$A:$A,MATCH(B45,'Inventario ACTUAL (nuevo)'!$B:$B,0)),"")</f>
        <v/>
      </c>
      <c r="E45" s="4" t="n">
        <v>60</v>
      </c>
      <c r="F45" s="4" t="n"/>
      <c r="G45" s="4">
        <f>SUMIFS('Movimientos ANTERIOR (detalle)'!$E:$E,'Movimientos ANTERIOR (detalle)'!$A:$A,A45,'Movimientos ANTERIOR (detalle)'!$D:$D,"Entrada")</f>
        <v/>
      </c>
      <c r="H45" s="4">
        <f>SUMIFS('Movimientos ANTERIOR (detalle)'!$E:$E,'Movimientos ANTERIOR (detalle)'!$A:$A,A45,'Movimientos ANTERIOR (detalle)'!$D:$D,"Salida")</f>
        <v/>
      </c>
      <c r="I45" s="4">
        <f>'Inventario ANTERIOR (borrado)'!G45</f>
        <v/>
      </c>
      <c r="J45" s="4" t="inlineStr"/>
      <c r="K45" s="4" t="n"/>
    </row>
    <row r="46">
      <c r="A46" s="4">
        <f>'Inventario ANTERIOR (borrado)'!A46</f>
        <v/>
      </c>
      <c r="B46" s="4">
        <f>'Inventario ANTERIOR (borrado)'!B46</f>
        <v/>
      </c>
      <c r="C46" s="4">
        <f>IFERROR(INDEX('Inventario ACTUAL (nuevo)'!$B:$B,MATCH(B46,'Inventario ACTUAL (nuevo)'!$B:$B,0)),"")</f>
        <v/>
      </c>
      <c r="D46" s="4">
        <f>IFERROR(INDEX('Inventario ACTUAL (nuevo)'!$A:$A,MATCH(B46,'Inventario ACTUAL (nuevo)'!$B:$B,0)),"")</f>
        <v/>
      </c>
      <c r="E46" s="4" t="n">
        <v>63</v>
      </c>
      <c r="F46" s="4" t="n"/>
      <c r="G46" s="4">
        <f>SUMIFS('Movimientos ANTERIOR (detalle)'!$E:$E,'Movimientos ANTERIOR (detalle)'!$A:$A,A46,'Movimientos ANTERIOR (detalle)'!$D:$D,"Entrada")</f>
        <v/>
      </c>
      <c r="H46" s="4">
        <f>SUMIFS('Movimientos ANTERIOR (detalle)'!$E:$E,'Movimientos ANTERIOR (detalle)'!$A:$A,A46,'Movimientos ANTERIOR (detalle)'!$D:$D,"Salida")</f>
        <v/>
      </c>
      <c r="I46" s="4">
        <f>'Inventario ANTERIOR (borrado)'!G46</f>
        <v/>
      </c>
      <c r="J46" s="4" t="inlineStr"/>
      <c r="K46" s="4" t="n"/>
    </row>
    <row r="47">
      <c r="A47" s="4">
        <f>'Inventario ANTERIOR (borrado)'!A47</f>
        <v/>
      </c>
      <c r="B47" s="4">
        <f>'Inventario ANTERIOR (borrado)'!B47</f>
        <v/>
      </c>
      <c r="C47" s="4">
        <f>IFERROR(INDEX('Inventario ACTUAL (nuevo)'!$B:$B,MATCH(B47,'Inventario ACTUAL (nuevo)'!$B:$B,0)),"")</f>
        <v/>
      </c>
      <c r="D47" s="4">
        <f>IFERROR(INDEX('Inventario ACTUAL (nuevo)'!$A:$A,MATCH(B47,'Inventario ACTUAL (nuevo)'!$B:$B,0)),"")</f>
        <v/>
      </c>
      <c r="E47" s="4" t="n">
        <v>63</v>
      </c>
      <c r="F47" s="4" t="n"/>
      <c r="G47" s="4">
        <f>SUMIFS('Movimientos ANTERIOR (detalle)'!$E:$E,'Movimientos ANTERIOR (detalle)'!$A:$A,A47,'Movimientos ANTERIOR (detalle)'!$D:$D,"Entrada")</f>
        <v/>
      </c>
      <c r="H47" s="4">
        <f>SUMIFS('Movimientos ANTERIOR (detalle)'!$E:$E,'Movimientos ANTERIOR (detalle)'!$A:$A,A47,'Movimientos ANTERIOR (detalle)'!$D:$D,"Salida")</f>
        <v/>
      </c>
      <c r="I47" s="4">
        <f>'Inventario ANTERIOR (borrado)'!G47</f>
        <v/>
      </c>
      <c r="J47" s="4" t="inlineStr"/>
      <c r="K47" s="4" t="n"/>
    </row>
    <row r="48">
      <c r="A48" s="4">
        <f>'Inventario ANTERIOR (borrado)'!A48</f>
        <v/>
      </c>
      <c r="B48" s="4">
        <f>'Inventario ANTERIOR (borrado)'!B48</f>
        <v/>
      </c>
      <c r="C48" s="4">
        <f>IFERROR(INDEX('Inventario ACTUAL (nuevo)'!$B:$B,MATCH(B48,'Inventario ACTUAL (nuevo)'!$B:$B,0)),"")</f>
        <v/>
      </c>
      <c r="D48" s="4">
        <f>IFERROR(INDEX('Inventario ACTUAL (nuevo)'!$A:$A,MATCH(B48,'Inventario ACTUAL (nuevo)'!$B:$B,0)),"")</f>
        <v/>
      </c>
      <c r="E48" s="4" t="n">
        <v>61</v>
      </c>
      <c r="F48" s="4" t="n"/>
      <c r="G48" s="4">
        <f>SUMIFS('Movimientos ANTERIOR (detalle)'!$E:$E,'Movimientos ANTERIOR (detalle)'!$A:$A,A48,'Movimientos ANTERIOR (detalle)'!$D:$D,"Entrada")</f>
        <v/>
      </c>
      <c r="H48" s="4">
        <f>SUMIFS('Movimientos ANTERIOR (detalle)'!$E:$E,'Movimientos ANTERIOR (detalle)'!$A:$A,A48,'Movimientos ANTERIOR (detalle)'!$D:$D,"Salida")</f>
        <v/>
      </c>
      <c r="I48" s="4">
        <f>'Inventario ANTERIOR (borrado)'!G48</f>
        <v/>
      </c>
      <c r="J48" s="4" t="inlineStr"/>
      <c r="K48" s="4" t="n"/>
    </row>
    <row r="49">
      <c r="A49" s="4">
        <f>'Inventario ANTERIOR (borrado)'!A49</f>
        <v/>
      </c>
      <c r="B49" s="4">
        <f>'Inventario ANTERIOR (borrado)'!B49</f>
        <v/>
      </c>
      <c r="C49" s="4">
        <f>IFERROR(INDEX('Inventario ACTUAL (nuevo)'!$B:$B,MATCH(B49,'Inventario ACTUAL (nuevo)'!$B:$B,0)),"")</f>
        <v/>
      </c>
      <c r="D49" s="4">
        <f>IFERROR(INDEX('Inventario ACTUAL (nuevo)'!$A:$A,MATCH(B49,'Inventario ACTUAL (nuevo)'!$B:$B,0)),"")</f>
        <v/>
      </c>
      <c r="E49" s="4" t="n">
        <v>50</v>
      </c>
      <c r="F49" s="4" t="n"/>
      <c r="G49" s="4">
        <f>SUMIFS('Movimientos ANTERIOR (detalle)'!$E:$E,'Movimientos ANTERIOR (detalle)'!$A:$A,A49,'Movimientos ANTERIOR (detalle)'!$D:$D,"Entrada")</f>
        <v/>
      </c>
      <c r="H49" s="4">
        <f>SUMIFS('Movimientos ANTERIOR (detalle)'!$E:$E,'Movimientos ANTERIOR (detalle)'!$A:$A,A49,'Movimientos ANTERIOR (detalle)'!$D:$D,"Salida")</f>
        <v/>
      </c>
      <c r="I49" s="4">
        <f>'Inventario ANTERIOR (borrado)'!G49</f>
        <v/>
      </c>
      <c r="J49" s="4" t="inlineStr"/>
      <c r="K49" s="4" t="n"/>
    </row>
    <row r="50">
      <c r="A50" s="4">
        <f>'Inventario ANTERIOR (borrado)'!A50</f>
        <v/>
      </c>
      <c r="B50" s="4">
        <f>'Inventario ANTERIOR (borrado)'!B50</f>
        <v/>
      </c>
      <c r="C50" s="6">
        <f>IFERROR(INDEX('Inventario ACTUAL (nuevo)'!$B:$B,MATCH(B50,'Inventario ACTUAL (nuevo)'!$B:$B,0)),"FILTRO DE ACEITE")</f>
        <v/>
      </c>
      <c r="D50" s="6">
        <f>IFERROR(INDEX('Inventario ACTUAL (nuevo)'!$A:$A,MATCH(B50,'Inventario ACTUAL (nuevo)'!$B:$B,0)),"INTMUR7QAZSK6")</f>
        <v/>
      </c>
      <c r="E50" s="6" t="n">
        <v>100</v>
      </c>
      <c r="F50" s="4" t="n"/>
      <c r="G50" s="4">
        <f>SUMIFS('Movimientos ANTERIOR (detalle)'!$E:$E,'Movimientos ANTERIOR (detalle)'!$A:$A,A50,'Movimientos ANTERIOR (detalle)'!$D:$D,"Entrada")</f>
        <v/>
      </c>
      <c r="H50" s="4">
        <f>SUMIFS('Movimientos ANTERIOR (detalle)'!$E:$E,'Movimientos ANTERIOR (detalle)'!$A:$A,A50,'Movimientos ANTERIOR (detalle)'!$D:$D,"Salida")</f>
        <v/>
      </c>
      <c r="I50" s="4">
        <f>'Inventario ANTERIOR (borrado)'!G50</f>
        <v/>
      </c>
      <c r="J50" s="4" t="inlineStr"/>
      <c r="K50" s="4" t="n"/>
    </row>
    <row r="51">
      <c r="A51" s="4">
        <f>'Inventario ANTERIOR (borrado)'!A51</f>
        <v/>
      </c>
      <c r="B51" s="4">
        <f>'Inventario ANTERIOR (borrado)'!B51</f>
        <v/>
      </c>
      <c r="C51" s="7">
        <f>IFERROR(INDEX('Inventario ACTUAL (nuevo)'!$B:$B,MATCH(B51,'Inventario ACTUAL (nuevo)'!$B:$B,0)),"FILTRO DE ACEITE")</f>
        <v/>
      </c>
      <c r="D51" s="7">
        <f>IFERROR(INDEX('Inventario ACTUAL (nuevo)'!$A:$A,MATCH(B51,'Inventario ACTUAL (nuevo)'!$B:$B,0)),"INTMUR7QAZSK6")</f>
        <v/>
      </c>
      <c r="E51" s="7" t="n">
        <v>87</v>
      </c>
      <c r="F51" s="4" t="n"/>
      <c r="G51" s="4">
        <f>SUMIFS('Movimientos ANTERIOR (detalle)'!$E:$E,'Movimientos ANTERIOR (detalle)'!$A:$A,A51,'Movimientos ANTERIOR (detalle)'!$D:$D,"Entrada")</f>
        <v/>
      </c>
      <c r="H51" s="4">
        <f>SUMIFS('Movimientos ANTERIOR (detalle)'!$E:$E,'Movimientos ANTERIOR (detalle)'!$A:$A,A51,'Movimientos ANTERIOR (detalle)'!$D:$D,"Salida")</f>
        <v/>
      </c>
      <c r="I51" s="4">
        <f>'Inventario ANTERIOR (borrado)'!G51</f>
        <v/>
      </c>
      <c r="J51" s="4" t="inlineStr"/>
      <c r="K51" s="4" t="n"/>
    </row>
    <row r="52">
      <c r="A52" s="4">
        <f>'Inventario ANTERIOR (borrado)'!A52</f>
        <v/>
      </c>
      <c r="B52" s="4">
        <f>'Inventario ANTERIOR (borrado)'!B52</f>
        <v/>
      </c>
      <c r="C52" s="4">
        <f>IFERROR(INDEX('Inventario ACTUAL (nuevo)'!$B:$B,MATCH(B52,'Inventario ACTUAL (nuevo)'!$B:$B,0)),"")</f>
        <v/>
      </c>
      <c r="D52" s="4">
        <f>IFERROR(INDEX('Inventario ACTUAL (nuevo)'!$A:$A,MATCH(B52,'Inventario ACTUAL (nuevo)'!$B:$B,0)),"")</f>
        <v/>
      </c>
      <c r="E52" s="4" t="n">
        <v>50</v>
      </c>
      <c r="F52" s="4" t="n"/>
      <c r="G52" s="4">
        <f>SUMIFS('Movimientos ANTERIOR (detalle)'!$E:$E,'Movimientos ANTERIOR (detalle)'!$A:$A,A52,'Movimientos ANTERIOR (detalle)'!$D:$D,"Entrada")</f>
        <v/>
      </c>
      <c r="H52" s="4">
        <f>SUMIFS('Movimientos ANTERIOR (detalle)'!$E:$E,'Movimientos ANTERIOR (detalle)'!$A:$A,A52,'Movimientos ANTERIOR (detalle)'!$D:$D,"Salida")</f>
        <v/>
      </c>
      <c r="I52" s="4">
        <f>'Inventario ANTERIOR (borrado)'!G52</f>
        <v/>
      </c>
      <c r="J52" s="4" t="inlineStr"/>
      <c r="K52" s="4" t="n"/>
    </row>
    <row r="53">
      <c r="A53" s="4">
        <f>'Inventario ANTERIOR (borrado)'!A53</f>
        <v/>
      </c>
      <c r="B53" s="4">
        <f>'Inventario ANTERIOR (borrado)'!B53</f>
        <v/>
      </c>
      <c r="C53" s="4">
        <f>IFERROR(INDEX('Inventario ACTUAL (nuevo)'!$B:$B,MATCH(B53,'Inventario ACTUAL (nuevo)'!$B:$B,0)),"")</f>
        <v/>
      </c>
      <c r="D53" s="4">
        <f>IFERROR(INDEX('Inventario ACTUAL (nuevo)'!$A:$A,MATCH(B53,'Inventario ACTUAL (nuevo)'!$B:$B,0)),"")</f>
        <v/>
      </c>
      <c r="E53" s="4" t="n">
        <v>55</v>
      </c>
      <c r="F53" s="4" t="n"/>
      <c r="G53" s="4">
        <f>SUMIFS('Movimientos ANTERIOR (detalle)'!$E:$E,'Movimientos ANTERIOR (detalle)'!$A:$A,A53,'Movimientos ANTERIOR (detalle)'!$D:$D,"Entrada")</f>
        <v/>
      </c>
      <c r="H53" s="4">
        <f>SUMIFS('Movimientos ANTERIOR (detalle)'!$E:$E,'Movimientos ANTERIOR (detalle)'!$A:$A,A53,'Movimientos ANTERIOR (detalle)'!$D:$D,"Salida")</f>
        <v/>
      </c>
      <c r="I53" s="4">
        <f>'Inventario ANTERIOR (borrado)'!G53</f>
        <v/>
      </c>
      <c r="J53" s="4" t="inlineStr"/>
      <c r="K53" s="4" t="n"/>
    </row>
    <row r="54">
      <c r="A54" s="4">
        <f>'Inventario ANTERIOR (borrado)'!A54</f>
        <v/>
      </c>
      <c r="B54" s="4">
        <f>'Inventario ANTERIOR (borrado)'!B54</f>
        <v/>
      </c>
      <c r="C54" s="7">
        <f>IFERROR(INDEX('Inventario ACTUAL (nuevo)'!$B:$B,MATCH(B54,'Inventario ACTUAL (nuevo)'!$B:$B,0)),"FOCO LED")</f>
        <v/>
      </c>
      <c r="D54" s="7">
        <f>IFERROR(INDEX('Inventario ACTUAL (nuevo)'!$A:$A,MATCH(B54,'Inventario ACTUAL (nuevo)'!$B:$B,0)),"INTMUR7YVEV3I")</f>
        <v/>
      </c>
      <c r="E54" s="7" t="n">
        <v>88</v>
      </c>
      <c r="F54" s="4" t="n"/>
      <c r="G54" s="4">
        <f>SUMIFS('Movimientos ANTERIOR (detalle)'!$E:$E,'Movimientos ANTERIOR (detalle)'!$A:$A,A54,'Movimientos ANTERIOR (detalle)'!$D:$D,"Entrada")</f>
        <v/>
      </c>
      <c r="H54" s="4">
        <f>SUMIFS('Movimientos ANTERIOR (detalle)'!$E:$E,'Movimientos ANTERIOR (detalle)'!$A:$A,A54,'Movimientos ANTERIOR (detalle)'!$D:$D,"Salida")</f>
        <v/>
      </c>
      <c r="I54" s="4">
        <f>'Inventario ANTERIOR (borrado)'!G54</f>
        <v/>
      </c>
      <c r="J54" s="4" t="inlineStr"/>
      <c r="K54" s="4" t="n"/>
    </row>
    <row r="55">
      <c r="A55" s="4">
        <f>'Inventario ANTERIOR (borrado)'!A55</f>
        <v/>
      </c>
      <c r="B55" s="4">
        <f>'Inventario ANTERIOR (borrado)'!B55</f>
        <v/>
      </c>
      <c r="C55" s="4">
        <f>IFERROR(INDEX('Inventario ACTUAL (nuevo)'!$B:$B,MATCH(B55,'Inventario ACTUAL (nuevo)'!$B:$B,0)),"")</f>
        <v/>
      </c>
      <c r="D55" s="4">
        <f>IFERROR(INDEX('Inventario ACTUAL (nuevo)'!$A:$A,MATCH(B55,'Inventario ACTUAL (nuevo)'!$B:$B,0)),"")</f>
        <v/>
      </c>
      <c r="E55" s="4" t="n">
        <v>50</v>
      </c>
      <c r="F55" s="4" t="n"/>
      <c r="G55" s="4">
        <f>SUMIFS('Movimientos ANTERIOR (detalle)'!$E:$E,'Movimientos ANTERIOR (detalle)'!$A:$A,A55,'Movimientos ANTERIOR (detalle)'!$D:$D,"Entrada")</f>
        <v/>
      </c>
      <c r="H55" s="4">
        <f>SUMIFS('Movimientos ANTERIOR (detalle)'!$E:$E,'Movimientos ANTERIOR (detalle)'!$A:$A,A55,'Movimientos ANTERIOR (detalle)'!$D:$D,"Salida")</f>
        <v/>
      </c>
      <c r="I55" s="4">
        <f>'Inventario ANTERIOR (borrado)'!G55</f>
        <v/>
      </c>
      <c r="J55" s="4" t="inlineStr"/>
      <c r="K55" s="4" t="n"/>
    </row>
    <row r="56">
      <c r="A56" s="4">
        <f>'Inventario ANTERIOR (borrado)'!A56</f>
        <v/>
      </c>
      <c r="B56" s="4">
        <f>'Inventario ANTERIOR (borrado)'!B56</f>
        <v/>
      </c>
      <c r="C56" s="4">
        <f>IFERROR(INDEX('Inventario ACTUAL (nuevo)'!$B:$B,MATCH(B56,'Inventario ACTUAL (nuevo)'!$B:$B,0)),"")</f>
        <v/>
      </c>
      <c r="D56" s="4">
        <f>IFERROR(INDEX('Inventario ACTUAL (nuevo)'!$A:$A,MATCH(B56,'Inventario ACTUAL (nuevo)'!$B:$B,0)),"")</f>
        <v/>
      </c>
      <c r="E56" s="4" t="n">
        <v>67</v>
      </c>
      <c r="F56" s="4" t="n"/>
      <c r="G56" s="4">
        <f>SUMIFS('Movimientos ANTERIOR (detalle)'!$E:$E,'Movimientos ANTERIOR (detalle)'!$A:$A,A56,'Movimientos ANTERIOR (detalle)'!$D:$D,"Entrada")</f>
        <v/>
      </c>
      <c r="H56" s="4">
        <f>SUMIFS('Movimientos ANTERIOR (detalle)'!$E:$E,'Movimientos ANTERIOR (detalle)'!$A:$A,A56,'Movimientos ANTERIOR (detalle)'!$D:$D,"Salida")</f>
        <v/>
      </c>
      <c r="I56" s="4">
        <f>'Inventario ANTERIOR (borrado)'!G56</f>
        <v/>
      </c>
      <c r="J56" s="4" t="inlineStr"/>
      <c r="K56" s="4" t="n"/>
    </row>
    <row r="57">
      <c r="A57" s="4">
        <f>'Inventario ANTERIOR (borrado)'!A57</f>
        <v/>
      </c>
      <c r="B57" s="4">
        <f>'Inventario ANTERIOR (borrado)'!B57</f>
        <v/>
      </c>
      <c r="C57" s="4">
        <f>IFERROR(INDEX('Inventario ACTUAL (nuevo)'!$B:$B,MATCH(B57,'Inventario ACTUAL (nuevo)'!$B:$B,0)),"")</f>
        <v/>
      </c>
      <c r="D57" s="4">
        <f>IFERROR(INDEX('Inventario ACTUAL (nuevo)'!$A:$A,MATCH(B57,'Inventario ACTUAL (nuevo)'!$B:$B,0)),"")</f>
        <v/>
      </c>
      <c r="E57" s="4" t="n">
        <v>56</v>
      </c>
      <c r="F57" s="4" t="n"/>
      <c r="G57" s="4">
        <f>SUMIFS('Movimientos ANTERIOR (detalle)'!$E:$E,'Movimientos ANTERIOR (detalle)'!$A:$A,A57,'Movimientos ANTERIOR (detalle)'!$D:$D,"Entrada")</f>
        <v/>
      </c>
      <c r="H57" s="4">
        <f>SUMIFS('Movimientos ANTERIOR (detalle)'!$E:$E,'Movimientos ANTERIOR (detalle)'!$A:$A,A57,'Movimientos ANTERIOR (detalle)'!$D:$D,"Salida")</f>
        <v/>
      </c>
      <c r="I57" s="4">
        <f>'Inventario ANTERIOR (borrado)'!G57</f>
        <v/>
      </c>
      <c r="J57" s="4" t="inlineStr"/>
      <c r="K57" s="4" t="n"/>
    </row>
    <row r="58">
      <c r="A58" s="4">
        <f>'Inventario ANTERIOR (borrado)'!A58</f>
        <v/>
      </c>
      <c r="B58" s="4">
        <f>'Inventario ANTERIOR (borrado)'!B58</f>
        <v/>
      </c>
      <c r="C58" s="4">
        <f>IFERROR(INDEX('Inventario ACTUAL (nuevo)'!$B:$B,MATCH(B58,'Inventario ACTUAL (nuevo)'!$B:$B,0)),"")</f>
        <v/>
      </c>
      <c r="D58" s="4">
        <f>IFERROR(INDEX('Inventario ACTUAL (nuevo)'!$A:$A,MATCH(B58,'Inventario ACTUAL (nuevo)'!$B:$B,0)),"")</f>
        <v/>
      </c>
      <c r="E58" s="4" t="n">
        <v>49</v>
      </c>
      <c r="F58" s="4" t="n"/>
      <c r="G58" s="4">
        <f>SUMIFS('Movimientos ANTERIOR (detalle)'!$E:$E,'Movimientos ANTERIOR (detalle)'!$A:$A,A58,'Movimientos ANTERIOR (detalle)'!$D:$D,"Entrada")</f>
        <v/>
      </c>
      <c r="H58" s="4">
        <f>SUMIFS('Movimientos ANTERIOR (detalle)'!$E:$E,'Movimientos ANTERIOR (detalle)'!$A:$A,A58,'Movimientos ANTERIOR (detalle)'!$D:$D,"Salida")</f>
        <v/>
      </c>
      <c r="I58" s="4">
        <f>'Inventario ANTERIOR (borrado)'!G58</f>
        <v/>
      </c>
      <c r="J58" s="4" t="inlineStr"/>
      <c r="K58" s="4" t="n"/>
    </row>
    <row r="59">
      <c r="A59" s="4">
        <f>'Inventario ANTERIOR (borrado)'!A59</f>
        <v/>
      </c>
      <c r="B59" s="4">
        <f>'Inventario ANTERIOR (borrado)'!B59</f>
        <v/>
      </c>
      <c r="C59" s="6">
        <f>IFERROR(INDEX('Inventario ACTUAL (nuevo)'!$B:$B,MATCH(B59,'Inventario ACTUAL (nuevo)'!$B:$B,0)),"INSTALACION ELECTRICA")</f>
        <v/>
      </c>
      <c r="D59" s="6">
        <f>IFERROR(INDEX('Inventario ACTUAL (nuevo)'!$A:$A,MATCH(B59,'Inventario ACTUAL (nuevo)'!$B:$B,0)),"INTMUR85810ID")</f>
        <v/>
      </c>
      <c r="E59" s="6" t="n">
        <v>100</v>
      </c>
      <c r="F59" s="4" t="n"/>
      <c r="G59" s="4">
        <f>SUMIFS('Movimientos ANTERIOR (detalle)'!$E:$E,'Movimientos ANTERIOR (detalle)'!$A:$A,A59,'Movimientos ANTERIOR (detalle)'!$D:$D,"Entrada")</f>
        <v/>
      </c>
      <c r="H59" s="4">
        <f>SUMIFS('Movimientos ANTERIOR (detalle)'!$E:$E,'Movimientos ANTERIOR (detalle)'!$A:$A,A59,'Movimientos ANTERIOR (detalle)'!$D:$D,"Salida")</f>
        <v/>
      </c>
      <c r="I59" s="4">
        <f>'Inventario ANTERIOR (borrado)'!G59</f>
        <v/>
      </c>
      <c r="J59" s="4" t="inlineStr"/>
      <c r="K59" s="4" t="n"/>
    </row>
    <row r="60">
      <c r="A60" s="4">
        <f>'Inventario ANTERIOR (borrado)'!A60</f>
        <v/>
      </c>
      <c r="B60" s="4">
        <f>'Inventario ANTERIOR (borrado)'!B60</f>
        <v/>
      </c>
      <c r="C60" s="4">
        <f>IFERROR(INDEX('Inventario ACTUAL (nuevo)'!$B:$B,MATCH(B60,'Inventario ACTUAL (nuevo)'!$B:$B,0)),"")</f>
        <v/>
      </c>
      <c r="D60" s="4">
        <f>IFERROR(INDEX('Inventario ACTUAL (nuevo)'!$A:$A,MATCH(B60,'Inventario ACTUAL (nuevo)'!$B:$B,0)),"")</f>
        <v/>
      </c>
      <c r="E60" s="4" t="n">
        <v>65</v>
      </c>
      <c r="F60" s="4" t="n"/>
      <c r="G60" s="4">
        <f>SUMIFS('Movimientos ANTERIOR (detalle)'!$E:$E,'Movimientos ANTERIOR (detalle)'!$A:$A,A60,'Movimientos ANTERIOR (detalle)'!$D:$D,"Entrada")</f>
        <v/>
      </c>
      <c r="H60" s="4">
        <f>SUMIFS('Movimientos ANTERIOR (detalle)'!$E:$E,'Movimientos ANTERIOR (detalle)'!$A:$A,A60,'Movimientos ANTERIOR (detalle)'!$D:$D,"Salida")</f>
        <v/>
      </c>
      <c r="I60" s="4">
        <f>'Inventario ANTERIOR (borrado)'!G60</f>
        <v/>
      </c>
      <c r="J60" s="4" t="inlineStr"/>
      <c r="K60" s="4" t="n"/>
    </row>
    <row r="61">
      <c r="A61" s="8">
        <f>'Inventario ANTERIOR (borrado)'!A61</f>
        <v/>
      </c>
      <c r="B61" s="8">
        <f>'Inventario ANTERIOR (borrado)'!B61</f>
        <v/>
      </c>
      <c r="C61" s="8">
        <f>IFERROR(INDEX('Inventario ACTUAL (nuevo)'!$B:$B,MATCH(B61,'Inventario ACTUAL (nuevo)'!$B:$B,0)),"")</f>
        <v/>
      </c>
      <c r="D61" s="8">
        <f>IFERROR(INDEX('Inventario ACTUAL (nuevo)'!$A:$A,MATCH(B61,'Inventario ACTUAL (nuevo)'!$B:$B,0)),"")</f>
        <v/>
      </c>
      <c r="E61" s="8" t="n">
        <v>59</v>
      </c>
      <c r="F61" s="8" t="n"/>
      <c r="G61" s="8">
        <f>SUMIFS('Movimientos ANTERIOR (detalle)'!$E:$E,'Movimientos ANTERIOR (detalle)'!$A:$A,A61,'Movimientos ANTERIOR (detalle)'!$D:$D,"Entrada")</f>
        <v/>
      </c>
      <c r="H61" s="8">
        <f>SUMIFS('Movimientos ANTERIOR (detalle)'!$E:$E,'Movimientos ANTERIOR (detalle)'!$A:$A,A61,'Movimientos ANTERIOR (detalle)'!$D:$D,"Salida")</f>
        <v/>
      </c>
      <c r="I61" s="8">
        <f>'Inventario ANTERIOR (borrado)'!G61</f>
        <v/>
      </c>
      <c r="J61" s="8" t="inlineStr">
        <is>
          <t>SÍ — N° 371 · Colón Moto · 22/09/2026</t>
        </is>
      </c>
      <c r="K61" s="8" t="n"/>
    </row>
    <row r="62">
      <c r="A62" s="4">
        <f>'Inventario ANTERIOR (borrado)'!A62</f>
        <v/>
      </c>
      <c r="B62" s="4">
        <f>'Inventario ANTERIOR (borrado)'!B62</f>
        <v/>
      </c>
      <c r="C62" s="4">
        <f>IFERROR(INDEX('Inventario ACTUAL (nuevo)'!$B:$B,MATCH(B62,'Inventario ACTUAL (nuevo)'!$B:$B,0)),"")</f>
        <v/>
      </c>
      <c r="D62" s="4">
        <f>IFERROR(INDEX('Inventario ACTUAL (nuevo)'!$A:$A,MATCH(B62,'Inventario ACTUAL (nuevo)'!$B:$B,0)),"")</f>
        <v/>
      </c>
      <c r="E62" s="4" t="n">
        <v>58</v>
      </c>
      <c r="F62" s="4" t="n"/>
      <c r="G62" s="4">
        <f>SUMIFS('Movimientos ANTERIOR (detalle)'!$E:$E,'Movimientos ANTERIOR (detalle)'!$A:$A,A62,'Movimientos ANTERIOR (detalle)'!$D:$D,"Entrada")</f>
        <v/>
      </c>
      <c r="H62" s="4">
        <f>SUMIFS('Movimientos ANTERIOR (detalle)'!$E:$E,'Movimientos ANTERIOR (detalle)'!$A:$A,A62,'Movimientos ANTERIOR (detalle)'!$D:$D,"Salida")</f>
        <v/>
      </c>
      <c r="I62" s="4">
        <f>'Inventario ANTERIOR (borrado)'!G62</f>
        <v/>
      </c>
      <c r="J62" s="4" t="inlineStr"/>
      <c r="K62" s="4" t="n"/>
    </row>
    <row r="63">
      <c r="A63" s="4">
        <f>'Inventario ANTERIOR (borrado)'!A63</f>
        <v/>
      </c>
      <c r="B63" s="4">
        <f>'Inventario ANTERIOR (borrado)'!B63</f>
        <v/>
      </c>
      <c r="C63" s="4">
        <f>IFERROR(INDEX('Inventario ACTUAL (nuevo)'!$B:$B,MATCH(B63,'Inventario ACTUAL (nuevo)'!$B:$B,0)),"")</f>
        <v/>
      </c>
      <c r="D63" s="4">
        <f>IFERROR(INDEX('Inventario ACTUAL (nuevo)'!$A:$A,MATCH(B63,'Inventario ACTUAL (nuevo)'!$B:$B,0)),"")</f>
        <v/>
      </c>
      <c r="E63" s="4" t="n">
        <v>61</v>
      </c>
      <c r="F63" s="4" t="n"/>
      <c r="G63" s="4">
        <f>SUMIFS('Movimientos ANTERIOR (detalle)'!$E:$E,'Movimientos ANTERIOR (detalle)'!$A:$A,A63,'Movimientos ANTERIOR (detalle)'!$D:$D,"Entrada")</f>
        <v/>
      </c>
      <c r="H63" s="4">
        <f>SUMIFS('Movimientos ANTERIOR (detalle)'!$E:$E,'Movimientos ANTERIOR (detalle)'!$A:$A,A63,'Movimientos ANTERIOR (detalle)'!$D:$D,"Salida")</f>
        <v/>
      </c>
      <c r="I63" s="4">
        <f>'Inventario ANTERIOR (borrado)'!G63</f>
        <v/>
      </c>
      <c r="J63" s="4" t="inlineStr"/>
      <c r="K63" s="4" t="n"/>
    </row>
    <row r="64">
      <c r="A64" s="4">
        <f>'Inventario ANTERIOR (borrado)'!A64</f>
        <v/>
      </c>
      <c r="B64" s="4">
        <f>'Inventario ANTERIOR (borrado)'!B64</f>
        <v/>
      </c>
      <c r="C64" s="4">
        <f>IFERROR(INDEX('Inventario ACTUAL (nuevo)'!$B:$B,MATCH(B64,'Inventario ACTUAL (nuevo)'!$B:$B,0)),"")</f>
        <v/>
      </c>
      <c r="D64" s="4">
        <f>IFERROR(INDEX('Inventario ACTUAL (nuevo)'!$A:$A,MATCH(B64,'Inventario ACTUAL (nuevo)'!$B:$B,0)),"")</f>
        <v/>
      </c>
      <c r="E64" s="4" t="n">
        <v>62</v>
      </c>
      <c r="F64" s="4" t="n"/>
      <c r="G64" s="4">
        <f>SUMIFS('Movimientos ANTERIOR (detalle)'!$E:$E,'Movimientos ANTERIOR (detalle)'!$A:$A,A64,'Movimientos ANTERIOR (detalle)'!$D:$D,"Entrada")</f>
        <v/>
      </c>
      <c r="H64" s="4">
        <f>SUMIFS('Movimientos ANTERIOR (detalle)'!$E:$E,'Movimientos ANTERIOR (detalle)'!$A:$A,A64,'Movimientos ANTERIOR (detalle)'!$D:$D,"Salida")</f>
        <v/>
      </c>
      <c r="I64" s="4">
        <f>'Inventario ANTERIOR (borrado)'!G64</f>
        <v/>
      </c>
      <c r="J64" s="4" t="inlineStr"/>
      <c r="K64" s="4" t="n"/>
    </row>
    <row r="65">
      <c r="A65" s="4">
        <f>'Inventario ANTERIOR (borrado)'!A65</f>
        <v/>
      </c>
      <c r="B65" s="4">
        <f>'Inventario ANTERIOR (borrado)'!B65</f>
        <v/>
      </c>
      <c r="C65" s="5">
        <f>IFERROR(INDEX('Inventario ACTUAL (nuevo)'!$B:$B,MATCH(B65,'Inventario ACTUAL (nuevo)'!$B:$B,0)),"COMANDO DE LUZ")</f>
        <v/>
      </c>
      <c r="D65" s="5">
        <f>IFERROR(INDEX('Inventario ACTUAL (nuevo)'!$A:$A,MATCH(B65,'Inventario ACTUAL (nuevo)'!$B:$B,0)),"INTMUR86ZUZLI")</f>
        <v/>
      </c>
      <c r="E65" s="5" t="n">
        <v>79</v>
      </c>
      <c r="F65" s="4" t="n"/>
      <c r="G65" s="4">
        <f>SUMIFS('Movimientos ANTERIOR (detalle)'!$E:$E,'Movimientos ANTERIOR (detalle)'!$A:$A,A65,'Movimientos ANTERIOR (detalle)'!$D:$D,"Entrada")</f>
        <v/>
      </c>
      <c r="H65" s="4">
        <f>SUMIFS('Movimientos ANTERIOR (detalle)'!$E:$E,'Movimientos ANTERIOR (detalle)'!$A:$A,A65,'Movimientos ANTERIOR (detalle)'!$D:$D,"Salida")</f>
        <v/>
      </c>
      <c r="I65" s="4">
        <f>'Inventario ANTERIOR (borrado)'!G65</f>
        <v/>
      </c>
      <c r="J65" s="4" t="inlineStr"/>
      <c r="K65" s="4" t="n"/>
    </row>
    <row r="66">
      <c r="A66" s="4">
        <f>'Inventario ANTERIOR (borrado)'!A66</f>
        <v/>
      </c>
      <c r="B66" s="4">
        <f>'Inventario ANTERIOR (borrado)'!B66</f>
        <v/>
      </c>
      <c r="C66" s="5">
        <f>IFERROR(INDEX('Inventario ACTUAL (nuevo)'!$B:$B,MATCH(B66,'Inventario ACTUAL (nuevo)'!$B:$B,0)),"DISCO DE FRENO DELANTERO")</f>
        <v/>
      </c>
      <c r="D66" s="5">
        <f>IFERROR(INDEX('Inventario ACTUAL (nuevo)'!$A:$A,MATCH(B66,'Inventario ACTUAL (nuevo)'!$B:$B,0)),"INTMUR7VI1W4M")</f>
        <v/>
      </c>
      <c r="E66" s="5" t="n">
        <v>75</v>
      </c>
      <c r="F66" s="4" t="n"/>
      <c r="G66" s="4">
        <f>SUMIFS('Movimientos ANTERIOR (detalle)'!$E:$E,'Movimientos ANTERIOR (detalle)'!$A:$A,A66,'Movimientos ANTERIOR (detalle)'!$D:$D,"Entrada")</f>
        <v/>
      </c>
      <c r="H66" s="4">
        <f>SUMIFS('Movimientos ANTERIOR (detalle)'!$E:$E,'Movimientos ANTERIOR (detalle)'!$A:$A,A66,'Movimientos ANTERIOR (detalle)'!$D:$D,"Salida")</f>
        <v/>
      </c>
      <c r="I66" s="4">
        <f>'Inventario ANTERIOR (borrado)'!G66</f>
        <v/>
      </c>
      <c r="J66" s="4" t="inlineStr"/>
      <c r="K66" s="4" t="n"/>
    </row>
    <row r="67">
      <c r="A67" s="4">
        <f>'Inventario ANTERIOR (borrado)'!A67</f>
        <v/>
      </c>
      <c r="B67" s="4">
        <f>'Inventario ANTERIOR (borrado)'!B67</f>
        <v/>
      </c>
      <c r="C67" s="7">
        <f>IFERROR(INDEX('Inventario ACTUAL (nuevo)'!$B:$B,MATCH(B67,'Inventario ACTUAL (nuevo)'!$B:$B,0)),"MANILLA DE EMBRAGUE")</f>
        <v/>
      </c>
      <c r="D67" s="7">
        <f>IFERROR(INDEX('Inventario ACTUAL (nuevo)'!$A:$A,MATCH(B67,'Inventario ACTUAL (nuevo)'!$B:$B,0)),"INTMUR74482GH")</f>
        <v/>
      </c>
      <c r="E67" s="7" t="n">
        <v>92</v>
      </c>
      <c r="F67" s="4" t="n"/>
      <c r="G67" s="4">
        <f>SUMIFS('Movimientos ANTERIOR (detalle)'!$E:$E,'Movimientos ANTERIOR (detalle)'!$A:$A,A67,'Movimientos ANTERIOR (detalle)'!$D:$D,"Entrada")</f>
        <v/>
      </c>
      <c r="H67" s="4">
        <f>SUMIFS('Movimientos ANTERIOR (detalle)'!$E:$E,'Movimientos ANTERIOR (detalle)'!$A:$A,A67,'Movimientos ANTERIOR (detalle)'!$D:$D,"Salida")</f>
        <v/>
      </c>
      <c r="I67" s="4">
        <f>'Inventario ANTERIOR (borrado)'!G67</f>
        <v/>
      </c>
      <c r="J67" s="4" t="inlineStr"/>
      <c r="K67" s="4" t="n"/>
    </row>
    <row r="68">
      <c r="A68" s="4">
        <f>'Inventario ANTERIOR (borrado)'!A68</f>
        <v/>
      </c>
      <c r="B68" s="4">
        <f>'Inventario ANTERIOR (borrado)'!B68</f>
        <v/>
      </c>
      <c r="C68" s="5">
        <f>IFERROR(INDEX('Inventario ACTUAL (nuevo)'!$B:$B,MATCH(B68,'Inventario ACTUAL (nuevo)'!$B:$B,0)),"MANILLA DE EMBRAGUE")</f>
        <v/>
      </c>
      <c r="D68" s="5">
        <f>IFERROR(INDEX('Inventario ACTUAL (nuevo)'!$A:$A,MATCH(B68,'Inventario ACTUAL (nuevo)'!$B:$B,0)),"INTMUR74482GH")</f>
        <v/>
      </c>
      <c r="E68" s="5" t="n">
        <v>74</v>
      </c>
      <c r="F68" s="4" t="n"/>
      <c r="G68" s="4">
        <f>SUMIFS('Movimientos ANTERIOR (detalle)'!$E:$E,'Movimientos ANTERIOR (detalle)'!$A:$A,A68,'Movimientos ANTERIOR (detalle)'!$D:$D,"Entrada")</f>
        <v/>
      </c>
      <c r="H68" s="4">
        <f>SUMIFS('Movimientos ANTERIOR (detalle)'!$E:$E,'Movimientos ANTERIOR (detalle)'!$A:$A,A68,'Movimientos ANTERIOR (detalle)'!$D:$D,"Salida")</f>
        <v/>
      </c>
      <c r="I68" s="4">
        <f>'Inventario ANTERIOR (borrado)'!G68</f>
        <v/>
      </c>
      <c r="J68" s="4" t="inlineStr"/>
      <c r="K68" s="4" t="n"/>
    </row>
    <row r="69">
      <c r="A69" s="4">
        <f>'Inventario ANTERIOR (borrado)'!A69</f>
        <v/>
      </c>
      <c r="B69" s="4">
        <f>'Inventario ANTERIOR (borrado)'!B69</f>
        <v/>
      </c>
      <c r="C69" s="4">
        <f>IFERROR(INDEX('Inventario ACTUAL (nuevo)'!$B:$B,MATCH(B69,'Inventario ACTUAL (nuevo)'!$B:$B,0)),"")</f>
        <v/>
      </c>
      <c r="D69" s="4">
        <f>IFERROR(INDEX('Inventario ACTUAL (nuevo)'!$A:$A,MATCH(B69,'Inventario ACTUAL (nuevo)'!$B:$B,0)),"")</f>
        <v/>
      </c>
      <c r="E69" s="4" t="n">
        <v>46</v>
      </c>
      <c r="F69" s="4" t="n"/>
      <c r="G69" s="4">
        <f>SUMIFS('Movimientos ANTERIOR (detalle)'!$E:$E,'Movimientos ANTERIOR (detalle)'!$A:$A,A69,'Movimientos ANTERIOR (detalle)'!$D:$D,"Entrada")</f>
        <v/>
      </c>
      <c r="H69" s="4">
        <f>SUMIFS('Movimientos ANTERIOR (detalle)'!$E:$E,'Movimientos ANTERIOR (detalle)'!$A:$A,A69,'Movimientos ANTERIOR (detalle)'!$D:$D,"Salida")</f>
        <v/>
      </c>
      <c r="I69" s="4">
        <f>'Inventario ANTERIOR (borrado)'!G69</f>
        <v/>
      </c>
      <c r="J69" s="4" t="inlineStr"/>
      <c r="K69" s="4" t="n"/>
    </row>
    <row r="70">
      <c r="A70" s="4">
        <f>'Inventario ANTERIOR (borrado)'!A70</f>
        <v/>
      </c>
      <c r="B70" s="4">
        <f>'Inventario ANTERIOR (borrado)'!B70</f>
        <v/>
      </c>
      <c r="C70" s="4">
        <f>IFERROR(INDEX('Inventario ACTUAL (nuevo)'!$B:$B,MATCH(B70,'Inventario ACTUAL (nuevo)'!$B:$B,0)),"")</f>
        <v/>
      </c>
      <c r="D70" s="4">
        <f>IFERROR(INDEX('Inventario ACTUAL (nuevo)'!$A:$A,MATCH(B70,'Inventario ACTUAL (nuevo)'!$B:$B,0)),"")</f>
        <v/>
      </c>
      <c r="E70" s="4" t="n">
        <v>55</v>
      </c>
      <c r="F70" s="4" t="n"/>
      <c r="G70" s="4">
        <f>SUMIFS('Movimientos ANTERIOR (detalle)'!$E:$E,'Movimientos ANTERIOR (detalle)'!$A:$A,A70,'Movimientos ANTERIOR (detalle)'!$D:$D,"Entrada")</f>
        <v/>
      </c>
      <c r="H70" s="4">
        <f>SUMIFS('Movimientos ANTERIOR (detalle)'!$E:$E,'Movimientos ANTERIOR (detalle)'!$A:$A,A70,'Movimientos ANTERIOR (detalle)'!$D:$D,"Salida")</f>
        <v/>
      </c>
      <c r="I70" s="4">
        <f>'Inventario ANTERIOR (borrado)'!G70</f>
        <v/>
      </c>
      <c r="J70" s="4" t="inlineStr"/>
      <c r="K70" s="4" t="n"/>
    </row>
    <row r="71">
      <c r="A71" s="4">
        <f>'Inventario ANTERIOR (borrado)'!A71</f>
        <v/>
      </c>
      <c r="B71" s="4">
        <f>'Inventario ANTERIOR (borrado)'!B71</f>
        <v/>
      </c>
      <c r="C71" s="6">
        <f>IFERROR(INDEX('Inventario ACTUAL (nuevo)'!$B:$B,MATCH(B71,'Inventario ACTUAL (nuevo)'!$B:$B,0)),"MORDAZA")</f>
        <v/>
      </c>
      <c r="D71" s="6">
        <f>IFERROR(INDEX('Inventario ACTUAL (nuevo)'!$A:$A,MATCH(B71,'Inventario ACTUAL (nuevo)'!$B:$B,0)),"INTMUR7OVSQP1")</f>
        <v/>
      </c>
      <c r="E71" s="6" t="n">
        <v>100</v>
      </c>
      <c r="F71" s="4" t="n"/>
      <c r="G71" s="4">
        <f>SUMIFS('Movimientos ANTERIOR (detalle)'!$E:$E,'Movimientos ANTERIOR (detalle)'!$A:$A,A71,'Movimientos ANTERIOR (detalle)'!$D:$D,"Entrada")</f>
        <v/>
      </c>
      <c r="H71" s="4">
        <f>SUMIFS('Movimientos ANTERIOR (detalle)'!$E:$E,'Movimientos ANTERIOR (detalle)'!$A:$A,A71,'Movimientos ANTERIOR (detalle)'!$D:$D,"Salida")</f>
        <v/>
      </c>
      <c r="I71" s="4">
        <f>'Inventario ANTERIOR (borrado)'!G71</f>
        <v/>
      </c>
      <c r="J71" s="4" t="inlineStr"/>
      <c r="K71" s="4" t="n"/>
    </row>
    <row r="72">
      <c r="A72" s="4">
        <f>'Inventario ANTERIOR (borrado)'!A72</f>
        <v/>
      </c>
      <c r="B72" s="4">
        <f>'Inventario ANTERIOR (borrado)'!B72</f>
        <v/>
      </c>
      <c r="C72" s="6">
        <f>IFERROR(INDEX('Inventario ACTUAL (nuevo)'!$B:$B,MATCH(B72,'Inventario ACTUAL (nuevo)'!$B:$B,0)),"MORDAZA")</f>
        <v/>
      </c>
      <c r="D72" s="6">
        <f>IFERROR(INDEX('Inventario ACTUAL (nuevo)'!$A:$A,MATCH(B72,'Inventario ACTUAL (nuevo)'!$B:$B,0)),"INTMUR7OVSQP1")</f>
        <v/>
      </c>
      <c r="E72" s="6" t="n">
        <v>100</v>
      </c>
      <c r="F72" s="4" t="n"/>
      <c r="G72" s="4">
        <f>SUMIFS('Movimientos ANTERIOR (detalle)'!$E:$E,'Movimientos ANTERIOR (detalle)'!$A:$A,A72,'Movimientos ANTERIOR (detalle)'!$D:$D,"Entrada")</f>
        <v/>
      </c>
      <c r="H72" s="4">
        <f>SUMIFS('Movimientos ANTERIOR (detalle)'!$E:$E,'Movimientos ANTERIOR (detalle)'!$A:$A,A72,'Movimientos ANTERIOR (detalle)'!$D:$D,"Salida")</f>
        <v/>
      </c>
      <c r="I72" s="4">
        <f>'Inventario ANTERIOR (borrado)'!G72</f>
        <v/>
      </c>
      <c r="J72" s="4" t="inlineStr"/>
      <c r="K72" s="4" t="n"/>
    </row>
    <row r="73">
      <c r="A73" s="4">
        <f>'Inventario ANTERIOR (borrado)'!A73</f>
        <v/>
      </c>
      <c r="B73" s="4">
        <f>'Inventario ANTERIOR (borrado)'!B73</f>
        <v/>
      </c>
      <c r="C73" s="7">
        <f>IFERROR(INDEX('Inventario ACTUAL (nuevo)'!$B:$B,MATCH(B73,'Inventario ACTUAL (nuevo)'!$B:$B,0)),"DISCO DE FRENO DELANTERO")</f>
        <v/>
      </c>
      <c r="D73" s="7">
        <f>IFERROR(INDEX('Inventario ACTUAL (nuevo)'!$A:$A,MATCH(B73,'Inventario ACTUAL (nuevo)'!$B:$B,0)),"INTMUR7VI1W4M")</f>
        <v/>
      </c>
      <c r="E73" s="7" t="n">
        <v>80</v>
      </c>
      <c r="F73" s="4" t="n"/>
      <c r="G73" s="4">
        <f>SUMIFS('Movimientos ANTERIOR (detalle)'!$E:$E,'Movimientos ANTERIOR (detalle)'!$A:$A,A73,'Movimientos ANTERIOR (detalle)'!$D:$D,"Entrada")</f>
        <v/>
      </c>
      <c r="H73" s="4">
        <f>SUMIFS('Movimientos ANTERIOR (detalle)'!$E:$E,'Movimientos ANTERIOR (detalle)'!$A:$A,A73,'Movimientos ANTERIOR (detalle)'!$D:$D,"Salida")</f>
        <v/>
      </c>
      <c r="I73" s="4">
        <f>'Inventario ANTERIOR (borrado)'!G73</f>
        <v/>
      </c>
      <c r="J73" s="4" t="inlineStr"/>
      <c r="K73" s="4" t="n"/>
    </row>
    <row r="74">
      <c r="A74" s="4">
        <f>'Inventario ANTERIOR (borrado)'!A74</f>
        <v/>
      </c>
      <c r="B74" s="4">
        <f>'Inventario ANTERIOR (borrado)'!B74</f>
        <v/>
      </c>
      <c r="C74" s="4">
        <f>IFERROR(INDEX('Inventario ACTUAL (nuevo)'!$B:$B,MATCH(B74,'Inventario ACTUAL (nuevo)'!$B:$B,0)),"")</f>
        <v/>
      </c>
      <c r="D74" s="4">
        <f>IFERROR(INDEX('Inventario ACTUAL (nuevo)'!$A:$A,MATCH(B74,'Inventario ACTUAL (nuevo)'!$B:$B,0)),"")</f>
        <v/>
      </c>
      <c r="E74" s="4" t="n">
        <v>59</v>
      </c>
      <c r="F74" s="4" t="n"/>
      <c r="G74" s="4">
        <f>SUMIFS('Movimientos ANTERIOR (detalle)'!$E:$E,'Movimientos ANTERIOR (detalle)'!$A:$A,A74,'Movimientos ANTERIOR (detalle)'!$D:$D,"Entrada")</f>
        <v/>
      </c>
      <c r="H74" s="4">
        <f>SUMIFS('Movimientos ANTERIOR (detalle)'!$E:$E,'Movimientos ANTERIOR (detalle)'!$A:$A,A74,'Movimientos ANTERIOR (detalle)'!$D:$D,"Salida")</f>
        <v/>
      </c>
      <c r="I74" s="4">
        <f>'Inventario ANTERIOR (borrado)'!G74</f>
        <v/>
      </c>
      <c r="J74" s="4" t="inlineStr"/>
      <c r="K74" s="4" t="n"/>
    </row>
    <row r="75">
      <c r="A75" s="4">
        <f>'Inventario ANTERIOR (borrado)'!A75</f>
        <v/>
      </c>
      <c r="B75" s="4">
        <f>'Inventario ANTERIOR (borrado)'!B75</f>
        <v/>
      </c>
      <c r="C75" s="7">
        <f>IFERROR(INDEX('Inventario ACTUAL (nuevo)'!$B:$B,MATCH(B75,'Inventario ACTUAL (nuevo)'!$B:$B,0)),"LLAVE DE GASOLINA")</f>
        <v/>
      </c>
      <c r="D75" s="7">
        <f>IFERROR(INDEX('Inventario ACTUAL (nuevo)'!$A:$A,MATCH(B75,'Inventario ACTUAL (nuevo)'!$B:$B,0)),"INTMUWUAQ5AIV")</f>
        <v/>
      </c>
      <c r="E75" s="7" t="n">
        <v>85</v>
      </c>
      <c r="F75" s="4" t="n"/>
      <c r="G75" s="4">
        <f>SUMIFS('Movimientos ANTERIOR (detalle)'!$E:$E,'Movimientos ANTERIOR (detalle)'!$A:$A,A75,'Movimientos ANTERIOR (detalle)'!$D:$D,"Entrada")</f>
        <v/>
      </c>
      <c r="H75" s="4">
        <f>SUMIFS('Movimientos ANTERIOR (detalle)'!$E:$E,'Movimientos ANTERIOR (detalle)'!$A:$A,A75,'Movimientos ANTERIOR (detalle)'!$D:$D,"Salida")</f>
        <v/>
      </c>
      <c r="I75" s="4">
        <f>'Inventario ANTERIOR (borrado)'!G75</f>
        <v/>
      </c>
      <c r="J75" s="4" t="inlineStr"/>
      <c r="K75" s="4" t="n"/>
    </row>
    <row r="76">
      <c r="A76" s="4">
        <f>'Inventario ANTERIOR (borrado)'!A76</f>
        <v/>
      </c>
      <c r="B76" s="4">
        <f>'Inventario ANTERIOR (borrado)'!B76</f>
        <v/>
      </c>
      <c r="C76" s="4">
        <f>IFERROR(INDEX('Inventario ACTUAL (nuevo)'!$B:$B,MATCH(B76,'Inventario ACTUAL (nuevo)'!$B:$B,0)),"")</f>
        <v/>
      </c>
      <c r="D76" s="4">
        <f>IFERROR(INDEX('Inventario ACTUAL (nuevo)'!$A:$A,MATCH(B76,'Inventario ACTUAL (nuevo)'!$B:$B,0)),"")</f>
        <v/>
      </c>
      <c r="E76" s="4" t="n">
        <v>62</v>
      </c>
      <c r="F76" s="4" t="n"/>
      <c r="G76" s="4">
        <f>SUMIFS('Movimientos ANTERIOR (detalle)'!$E:$E,'Movimientos ANTERIOR (detalle)'!$A:$A,A76,'Movimientos ANTERIOR (detalle)'!$D:$D,"Entrada")</f>
        <v/>
      </c>
      <c r="H76" s="4">
        <f>SUMIFS('Movimientos ANTERIOR (detalle)'!$E:$E,'Movimientos ANTERIOR (detalle)'!$A:$A,A76,'Movimientos ANTERIOR (detalle)'!$D:$D,"Salida")</f>
        <v/>
      </c>
      <c r="I76" s="4">
        <f>'Inventario ANTERIOR (borrado)'!G76</f>
        <v/>
      </c>
      <c r="J76" s="4" t="inlineStr"/>
      <c r="K76" s="4" t="n"/>
    </row>
    <row r="77">
      <c r="A77" s="4">
        <f>'Inventario ANTERIOR (borrado)'!A77</f>
        <v/>
      </c>
      <c r="B77" s="4">
        <f>'Inventario ANTERIOR (borrado)'!B77</f>
        <v/>
      </c>
      <c r="C77" s="6">
        <f>IFERROR(INDEX('Inventario ACTUAL (nuevo)'!$B:$B,MATCH(B77,'Inventario ACTUAL (nuevo)'!$B:$B,0)),"PATA DE APOYO")</f>
        <v/>
      </c>
      <c r="D77" s="6">
        <f>IFERROR(INDEX('Inventario ACTUAL (nuevo)'!$A:$A,MATCH(B77,'Inventario ACTUAL (nuevo)'!$B:$B,0)),"INTMUR7J05A3Q")</f>
        <v/>
      </c>
      <c r="E77" s="6" t="n">
        <v>100</v>
      </c>
      <c r="F77" s="4" t="n"/>
      <c r="G77" s="4">
        <f>SUMIFS('Movimientos ANTERIOR (detalle)'!$E:$E,'Movimientos ANTERIOR (detalle)'!$A:$A,A77,'Movimientos ANTERIOR (detalle)'!$D:$D,"Entrada")</f>
        <v/>
      </c>
      <c r="H77" s="4">
        <f>SUMIFS('Movimientos ANTERIOR (detalle)'!$E:$E,'Movimientos ANTERIOR (detalle)'!$A:$A,A77,'Movimientos ANTERIOR (detalle)'!$D:$D,"Salida")</f>
        <v/>
      </c>
      <c r="I77" s="4">
        <f>'Inventario ANTERIOR (borrado)'!G77</f>
        <v/>
      </c>
      <c r="J77" s="4" t="inlineStr"/>
      <c r="K77" s="4" t="n"/>
    </row>
    <row r="78">
      <c r="A78" s="4">
        <f>'Inventario ANTERIOR (borrado)'!A78</f>
        <v/>
      </c>
      <c r="B78" s="4">
        <f>'Inventario ANTERIOR (borrado)'!B78</f>
        <v/>
      </c>
      <c r="C78" s="7">
        <f>IFERROR(INDEX('Inventario ACTUAL (nuevo)'!$B:$B,MATCH(B78,'Inventario ACTUAL (nuevo)'!$B:$B,0)),"CAJA DE CAMBIO")</f>
        <v/>
      </c>
      <c r="D78" s="7">
        <f>IFERROR(INDEX('Inventario ACTUAL (nuevo)'!$A:$A,MATCH(B78,'Inventario ACTUAL (nuevo)'!$B:$B,0)),"INTMUR7USTJEU")</f>
        <v/>
      </c>
      <c r="E78" s="7" t="n">
        <v>86</v>
      </c>
      <c r="F78" s="4" t="n"/>
      <c r="G78" s="4">
        <f>SUMIFS('Movimientos ANTERIOR (detalle)'!$E:$E,'Movimientos ANTERIOR (detalle)'!$A:$A,A78,'Movimientos ANTERIOR (detalle)'!$D:$D,"Entrada")</f>
        <v/>
      </c>
      <c r="H78" s="4">
        <f>SUMIFS('Movimientos ANTERIOR (detalle)'!$E:$E,'Movimientos ANTERIOR (detalle)'!$A:$A,A78,'Movimientos ANTERIOR (detalle)'!$D:$D,"Salida")</f>
        <v/>
      </c>
      <c r="I78" s="4">
        <f>'Inventario ANTERIOR (borrado)'!G78</f>
        <v/>
      </c>
      <c r="J78" s="4" t="inlineStr"/>
      <c r="K78" s="4" t="n"/>
    </row>
    <row r="79">
      <c r="A79" s="8">
        <f>'Inventario ANTERIOR (borrado)'!A79</f>
        <v/>
      </c>
      <c r="B79" s="8">
        <f>'Inventario ANTERIOR (borrado)'!B79</f>
        <v/>
      </c>
      <c r="C79" s="8">
        <f>IFERROR(INDEX('Inventario ACTUAL (nuevo)'!$B:$B,MATCH(B79,'Inventario ACTUAL (nuevo)'!$B:$B,0)),"")</f>
        <v/>
      </c>
      <c r="D79" s="8">
        <f>IFERROR(INDEX('Inventario ACTUAL (nuevo)'!$A:$A,MATCH(B79,'Inventario ACTUAL (nuevo)'!$B:$B,0)),"")</f>
        <v/>
      </c>
      <c r="E79" s="8" t="n">
        <v>64</v>
      </c>
      <c r="F79" s="8" t="n"/>
      <c r="G79" s="8">
        <f>SUMIFS('Movimientos ANTERIOR (detalle)'!$E:$E,'Movimientos ANTERIOR (detalle)'!$A:$A,A79,'Movimientos ANTERIOR (detalle)'!$D:$D,"Entrada")</f>
        <v/>
      </c>
      <c r="H79" s="8">
        <f>SUMIFS('Movimientos ANTERIOR (detalle)'!$E:$E,'Movimientos ANTERIOR (detalle)'!$A:$A,A79,'Movimientos ANTERIOR (detalle)'!$D:$D,"Salida")</f>
        <v/>
      </c>
      <c r="I79" s="8">
        <f>'Inventario ANTERIOR (borrado)'!G79</f>
        <v/>
      </c>
      <c r="J79" s="8" t="inlineStr">
        <is>
          <t>SÍ — N° 371 · Colón Moto · 22/09/2026</t>
        </is>
      </c>
      <c r="K79" s="8" t="n"/>
    </row>
    <row r="80">
      <c r="A80" s="8">
        <f>'Inventario ANTERIOR (borrado)'!A80</f>
        <v/>
      </c>
      <c r="B80" s="8">
        <f>'Inventario ANTERIOR (borrado)'!B80</f>
        <v/>
      </c>
      <c r="C80" s="8">
        <f>IFERROR(INDEX('Inventario ACTUAL (nuevo)'!$B:$B,MATCH(B80,'Inventario ACTUAL (nuevo)'!$B:$B,0)),"")</f>
        <v/>
      </c>
      <c r="D80" s="8">
        <f>IFERROR(INDEX('Inventario ACTUAL (nuevo)'!$A:$A,MATCH(B80,'Inventario ACTUAL (nuevo)'!$B:$B,0)),"")</f>
        <v/>
      </c>
      <c r="E80" s="8" t="n">
        <v>69</v>
      </c>
      <c r="F80" s="8" t="n"/>
      <c r="G80" s="8">
        <f>SUMIFS('Movimientos ANTERIOR (detalle)'!$E:$E,'Movimientos ANTERIOR (detalle)'!$A:$A,A80,'Movimientos ANTERIOR (detalle)'!$D:$D,"Entrada")</f>
        <v/>
      </c>
      <c r="H80" s="8">
        <f>SUMIFS('Movimientos ANTERIOR (detalle)'!$E:$E,'Movimientos ANTERIOR (detalle)'!$A:$A,A80,'Movimientos ANTERIOR (detalle)'!$D:$D,"Salida")</f>
        <v/>
      </c>
      <c r="I80" s="8">
        <f>'Inventario ANTERIOR (borrado)'!G80</f>
        <v/>
      </c>
      <c r="J80" s="8" t="inlineStr">
        <is>
          <t>SÍ — N° 371 · Colón Moto · 22/09/2026</t>
        </is>
      </c>
      <c r="K80" s="8" t="n"/>
    </row>
    <row r="81">
      <c r="A81" s="4">
        <f>'Inventario ANTERIOR (borrado)'!A81</f>
        <v/>
      </c>
      <c r="B81" s="4">
        <f>'Inventario ANTERIOR (borrado)'!B81</f>
        <v/>
      </c>
      <c r="C81" s="4">
        <f>IFERROR(INDEX('Inventario ACTUAL (nuevo)'!$B:$B,MATCH(B81,'Inventario ACTUAL (nuevo)'!$B:$B,0)),"")</f>
        <v/>
      </c>
      <c r="D81" s="4">
        <f>IFERROR(INDEX('Inventario ACTUAL (nuevo)'!$A:$A,MATCH(B81,'Inventario ACTUAL (nuevo)'!$B:$B,0)),"")</f>
        <v/>
      </c>
      <c r="E81" s="4" t="n">
        <v>54</v>
      </c>
      <c r="F81" s="4" t="n"/>
      <c r="G81" s="4">
        <f>SUMIFS('Movimientos ANTERIOR (detalle)'!$E:$E,'Movimientos ANTERIOR (detalle)'!$A:$A,A81,'Movimientos ANTERIOR (detalle)'!$D:$D,"Entrada")</f>
        <v/>
      </c>
      <c r="H81" s="4">
        <f>SUMIFS('Movimientos ANTERIOR (detalle)'!$E:$E,'Movimientos ANTERIOR (detalle)'!$A:$A,A81,'Movimientos ANTERIOR (detalle)'!$D:$D,"Salida")</f>
        <v/>
      </c>
      <c r="I81" s="4">
        <f>'Inventario ANTERIOR (borrado)'!G81</f>
        <v/>
      </c>
      <c r="J81" s="4" t="inlineStr"/>
      <c r="K81" s="4" t="n"/>
    </row>
    <row r="82">
      <c r="A82" s="4">
        <f>'Inventario ANTERIOR (borrado)'!A82</f>
        <v/>
      </c>
      <c r="B82" s="4">
        <f>'Inventario ANTERIOR (borrado)'!B82</f>
        <v/>
      </c>
      <c r="C82" s="6">
        <f>IFERROR(INDEX('Inventario ACTUAL (nuevo)'!$B:$B,MATCH(B82,'Inventario ACTUAL (nuevo)'!$B:$B,0)),"PIÑON DE VELOCÍMETRO")</f>
        <v/>
      </c>
      <c r="D82" s="6">
        <f>IFERROR(INDEX('Inventario ACTUAL (nuevo)'!$A:$A,MATCH(B82,'Inventario ACTUAL (nuevo)'!$B:$B,0)),"INTMUR7GIFU52")</f>
        <v/>
      </c>
      <c r="E82" s="6" t="n">
        <v>100</v>
      </c>
      <c r="F82" s="4" t="n"/>
      <c r="G82" s="4">
        <f>SUMIFS('Movimientos ANTERIOR (detalle)'!$E:$E,'Movimientos ANTERIOR (detalle)'!$A:$A,A82,'Movimientos ANTERIOR (detalle)'!$D:$D,"Entrada")</f>
        <v/>
      </c>
      <c r="H82" s="4">
        <f>SUMIFS('Movimientos ANTERIOR (detalle)'!$E:$E,'Movimientos ANTERIOR (detalle)'!$A:$A,A82,'Movimientos ANTERIOR (detalle)'!$D:$D,"Salida")</f>
        <v/>
      </c>
      <c r="I82" s="4">
        <f>'Inventario ANTERIOR (borrado)'!G82</f>
        <v/>
      </c>
      <c r="J82" s="4" t="inlineStr"/>
      <c r="K82" s="4" t="n"/>
    </row>
    <row r="83">
      <c r="A83" s="4">
        <f>'Inventario ANTERIOR (borrado)'!A83</f>
        <v/>
      </c>
      <c r="B83" s="4">
        <f>'Inventario ANTERIOR (borrado)'!B83</f>
        <v/>
      </c>
      <c r="C83" s="6">
        <f>IFERROR(INDEX('Inventario ACTUAL (nuevo)'!$B:$B,MATCH(B83,'Inventario ACTUAL (nuevo)'!$B:$B,0)),"PISTA DE TIMÓN")</f>
        <v/>
      </c>
      <c r="D83" s="6">
        <f>IFERROR(INDEX('Inventario ACTUAL (nuevo)'!$A:$A,MATCH(B83,'Inventario ACTUAL (nuevo)'!$B:$B,0)),"INTMUR813H8QA")</f>
        <v/>
      </c>
      <c r="E83" s="6" t="n">
        <v>100</v>
      </c>
      <c r="F83" s="4" t="n"/>
      <c r="G83" s="4">
        <f>SUMIFS('Movimientos ANTERIOR (detalle)'!$E:$E,'Movimientos ANTERIOR (detalle)'!$A:$A,A83,'Movimientos ANTERIOR (detalle)'!$D:$D,"Entrada")</f>
        <v/>
      </c>
      <c r="H83" s="4">
        <f>SUMIFS('Movimientos ANTERIOR (detalle)'!$E:$E,'Movimientos ANTERIOR (detalle)'!$A:$A,A83,'Movimientos ANTERIOR (detalle)'!$D:$D,"Salida")</f>
        <v/>
      </c>
      <c r="I83" s="4">
        <f>'Inventario ANTERIOR (borrado)'!G83</f>
        <v/>
      </c>
      <c r="J83" s="4" t="inlineStr"/>
      <c r="K83" s="4" t="n"/>
    </row>
    <row r="84">
      <c r="A84" s="4">
        <f>'Inventario ANTERIOR (borrado)'!A84</f>
        <v/>
      </c>
      <c r="B84" s="4">
        <f>'Inventario ANTERIOR (borrado)'!B84</f>
        <v/>
      </c>
      <c r="C84" s="4">
        <f>IFERROR(INDEX('Inventario ACTUAL (nuevo)'!$B:$B,MATCH(B84,'Inventario ACTUAL (nuevo)'!$B:$B,0)),"")</f>
        <v/>
      </c>
      <c r="D84" s="4">
        <f>IFERROR(INDEX('Inventario ACTUAL (nuevo)'!$A:$A,MATCH(B84,'Inventario ACTUAL (nuevo)'!$B:$B,0)),"")</f>
        <v/>
      </c>
      <c r="E84" s="4" t="n">
        <v>61</v>
      </c>
      <c r="F84" s="4" t="n"/>
      <c r="G84" s="4">
        <f>SUMIFS('Movimientos ANTERIOR (detalle)'!$E:$E,'Movimientos ANTERIOR (detalle)'!$A:$A,A84,'Movimientos ANTERIOR (detalle)'!$D:$D,"Entrada")</f>
        <v/>
      </c>
      <c r="H84" s="4">
        <f>SUMIFS('Movimientos ANTERIOR (detalle)'!$E:$E,'Movimientos ANTERIOR (detalle)'!$A:$A,A84,'Movimientos ANTERIOR (detalle)'!$D:$D,"Salida")</f>
        <v/>
      </c>
      <c r="I84" s="4">
        <f>'Inventario ANTERIOR (borrado)'!G84</f>
        <v/>
      </c>
      <c r="J84" s="4" t="inlineStr"/>
      <c r="K84" s="4" t="n"/>
    </row>
    <row r="85">
      <c r="A85" s="4">
        <f>'Inventario ANTERIOR (borrado)'!A85</f>
        <v/>
      </c>
      <c r="B85" s="4">
        <f>'Inventario ANTERIOR (borrado)'!B85</f>
        <v/>
      </c>
      <c r="C85" s="4">
        <f>IFERROR(INDEX('Inventario ACTUAL (nuevo)'!$B:$B,MATCH(B85,'Inventario ACTUAL (nuevo)'!$B:$B,0)),"")</f>
        <v/>
      </c>
      <c r="D85" s="4">
        <f>IFERROR(INDEX('Inventario ACTUAL (nuevo)'!$A:$A,MATCH(B85,'Inventario ACTUAL (nuevo)'!$B:$B,0)),"")</f>
        <v/>
      </c>
      <c r="E85" s="4" t="n">
        <v>48</v>
      </c>
      <c r="F85" s="4" t="n"/>
      <c r="G85" s="4">
        <f>SUMIFS('Movimientos ANTERIOR (detalle)'!$E:$E,'Movimientos ANTERIOR (detalle)'!$A:$A,A85,'Movimientos ANTERIOR (detalle)'!$D:$D,"Entrada")</f>
        <v/>
      </c>
      <c r="H85" s="4">
        <f>SUMIFS('Movimientos ANTERIOR (detalle)'!$E:$E,'Movimientos ANTERIOR (detalle)'!$A:$A,A85,'Movimientos ANTERIOR (detalle)'!$D:$D,"Salida")</f>
        <v/>
      </c>
      <c r="I85" s="4">
        <f>'Inventario ANTERIOR (borrado)'!G85</f>
        <v/>
      </c>
      <c r="J85" s="4" t="inlineStr"/>
      <c r="K85" s="4" t="n"/>
    </row>
    <row r="86">
      <c r="A86" s="4">
        <f>'Inventario ANTERIOR (borrado)'!A86</f>
        <v/>
      </c>
      <c r="B86" s="4">
        <f>'Inventario ANTERIOR (borrado)'!B86</f>
        <v/>
      </c>
      <c r="C86" s="7">
        <f>IFERROR(INDEX('Inventario ACTUAL (nuevo)'!$B:$B,MATCH(B86,'Inventario ACTUAL (nuevo)'!$B:$B,0)),"LIQUIDO DE FRENO")</f>
        <v/>
      </c>
      <c r="D86" s="7">
        <f>IFERROR(INDEX('Inventario ACTUAL (nuevo)'!$A:$A,MATCH(B86,'Inventario ACTUAL (nuevo)'!$B:$B,0)),"INTMUR82H7ODJ")</f>
        <v/>
      </c>
      <c r="E86" s="7" t="n">
        <v>80</v>
      </c>
      <c r="F86" s="4" t="n"/>
      <c r="G86" s="4">
        <f>SUMIFS('Movimientos ANTERIOR (detalle)'!$E:$E,'Movimientos ANTERIOR (detalle)'!$A:$A,A86,'Movimientos ANTERIOR (detalle)'!$D:$D,"Entrada")</f>
        <v/>
      </c>
      <c r="H86" s="4">
        <f>SUMIFS('Movimientos ANTERIOR (detalle)'!$E:$E,'Movimientos ANTERIOR (detalle)'!$A:$A,A86,'Movimientos ANTERIOR (detalle)'!$D:$D,"Salida")</f>
        <v/>
      </c>
      <c r="I86" s="4">
        <f>'Inventario ANTERIOR (borrado)'!G86</f>
        <v/>
      </c>
      <c r="J86" s="4" t="inlineStr"/>
      <c r="K86" s="4" t="n"/>
    </row>
    <row r="87">
      <c r="A87" s="4">
        <f>'Inventario ANTERIOR (borrado)'!A87</f>
        <v/>
      </c>
      <c r="B87" s="4">
        <f>'Inventario ANTERIOR (borrado)'!B87</f>
        <v/>
      </c>
      <c r="C87" s="5">
        <f>IFERROR(INDEX('Inventario ACTUAL (nuevo)'!$B:$B,MATCH(B87,'Inventario ACTUAL (nuevo)'!$B:$B,0)),"CATALINA")</f>
        <v/>
      </c>
      <c r="D87" s="5">
        <f>IFERROR(INDEX('Inventario ACTUAL (nuevo)'!$A:$A,MATCH(B87,'Inventario ACTUAL (nuevo)'!$B:$B,0)),"INTMUR88B7PQK")</f>
        <v/>
      </c>
      <c r="E87" s="5" t="n">
        <v>73</v>
      </c>
      <c r="F87" s="4" t="n"/>
      <c r="G87" s="4">
        <f>SUMIFS('Movimientos ANTERIOR (detalle)'!$E:$E,'Movimientos ANTERIOR (detalle)'!$A:$A,A87,'Movimientos ANTERIOR (detalle)'!$D:$D,"Entrada")</f>
        <v/>
      </c>
      <c r="H87" s="4">
        <f>SUMIFS('Movimientos ANTERIOR (detalle)'!$E:$E,'Movimientos ANTERIOR (detalle)'!$A:$A,A87,'Movimientos ANTERIOR (detalle)'!$D:$D,"Salida")</f>
        <v/>
      </c>
      <c r="I87" s="4">
        <f>'Inventario ANTERIOR (borrado)'!G87</f>
        <v/>
      </c>
      <c r="J87" s="4" t="inlineStr"/>
      <c r="K87" s="4" t="n"/>
    </row>
    <row r="88">
      <c r="A88" s="4">
        <f>'Inventario ANTERIOR (borrado)'!A88</f>
        <v/>
      </c>
      <c r="B88" s="4">
        <f>'Inventario ANTERIOR (borrado)'!B88</f>
        <v/>
      </c>
      <c r="C88" s="6">
        <f>IFERROR(INDEX('Inventario ACTUAL (nuevo)'!$B:$B,MATCH(B88,'Inventario ACTUAL (nuevo)'!$B:$B,0)),"PORTA ZAPATA")</f>
        <v/>
      </c>
      <c r="D88" s="6">
        <f>IFERROR(INDEX('Inventario ACTUAL (nuevo)'!$A:$A,MATCH(B88,'Inventario ACTUAL (nuevo)'!$B:$B,0)),"INTMUR7H8IR7G")</f>
        <v/>
      </c>
      <c r="E88" s="6" t="n">
        <v>100</v>
      </c>
      <c r="F88" s="4" t="n"/>
      <c r="G88" s="4">
        <f>SUMIFS('Movimientos ANTERIOR (detalle)'!$E:$E,'Movimientos ANTERIOR (detalle)'!$A:$A,A88,'Movimientos ANTERIOR (detalle)'!$D:$D,"Entrada")</f>
        <v/>
      </c>
      <c r="H88" s="4">
        <f>SUMIFS('Movimientos ANTERIOR (detalle)'!$E:$E,'Movimientos ANTERIOR (detalle)'!$A:$A,A88,'Movimientos ANTERIOR (detalle)'!$D:$D,"Salida")</f>
        <v/>
      </c>
      <c r="I88" s="4">
        <f>'Inventario ANTERIOR (borrado)'!G88</f>
        <v/>
      </c>
      <c r="J88" s="4" t="inlineStr"/>
      <c r="K88" s="4" t="n"/>
    </row>
    <row r="89">
      <c r="A89" s="4">
        <f>'Inventario ANTERIOR (borrado)'!A89</f>
        <v/>
      </c>
      <c r="B89" s="4">
        <f>'Inventario ANTERIOR (borrado)'!B89</f>
        <v/>
      </c>
      <c r="C89" s="6">
        <f>IFERROR(INDEX('Inventario ACTUAL (nuevo)'!$B:$B,MATCH(B89,'Inventario ACTUAL (nuevo)'!$B:$B,0)),"PORTA ZAPATA")</f>
        <v/>
      </c>
      <c r="D89" s="6">
        <f>IFERROR(INDEX('Inventario ACTUAL (nuevo)'!$A:$A,MATCH(B89,'Inventario ACTUAL (nuevo)'!$B:$B,0)),"INTMUR7H8IR7G")</f>
        <v/>
      </c>
      <c r="E89" s="6" t="n">
        <v>100</v>
      </c>
      <c r="F89" s="4" t="n"/>
      <c r="G89" s="4">
        <f>SUMIFS('Movimientos ANTERIOR (detalle)'!$E:$E,'Movimientos ANTERIOR (detalle)'!$A:$A,A89,'Movimientos ANTERIOR (detalle)'!$D:$D,"Entrada")</f>
        <v/>
      </c>
      <c r="H89" s="4">
        <f>SUMIFS('Movimientos ANTERIOR (detalle)'!$E:$E,'Movimientos ANTERIOR (detalle)'!$A:$A,A89,'Movimientos ANTERIOR (detalle)'!$D:$D,"Salida")</f>
        <v/>
      </c>
      <c r="I89" s="4">
        <f>'Inventario ANTERIOR (borrado)'!G89</f>
        <v/>
      </c>
      <c r="J89" s="4" t="inlineStr"/>
      <c r="K89" s="4" t="n"/>
    </row>
    <row r="90">
      <c r="A90" s="4">
        <f>'Inventario ANTERIOR (borrado)'!A90</f>
        <v/>
      </c>
      <c r="B90" s="4">
        <f>'Inventario ANTERIOR (borrado)'!B90</f>
        <v/>
      </c>
      <c r="C90" s="5">
        <f>IFERROR(INDEX('Inventario ACTUAL (nuevo)'!$B:$B,MATCH(B90,'Inventario ACTUAL (nuevo)'!$B:$B,0)),"Eje DELANTERO")</f>
        <v/>
      </c>
      <c r="D90" s="5">
        <f>IFERROR(INDEX('Inventario ACTUAL (nuevo)'!$A:$A,MATCH(B90,'Inventario ACTUAL (nuevo)'!$B:$B,0)),"INTMUWUAG0EKQ")</f>
        <v/>
      </c>
      <c r="E90" s="5" t="n">
        <v>71</v>
      </c>
      <c r="F90" s="4" t="n"/>
      <c r="G90" s="4">
        <f>SUMIFS('Movimientos ANTERIOR (detalle)'!$E:$E,'Movimientos ANTERIOR (detalle)'!$A:$A,A90,'Movimientos ANTERIOR (detalle)'!$D:$D,"Entrada")</f>
        <v/>
      </c>
      <c r="H90" s="4">
        <f>SUMIFS('Movimientos ANTERIOR (detalle)'!$E:$E,'Movimientos ANTERIOR (detalle)'!$A:$A,A90,'Movimientos ANTERIOR (detalle)'!$D:$D,"Salida")</f>
        <v/>
      </c>
      <c r="I90" s="4">
        <f>'Inventario ANTERIOR (borrado)'!G90</f>
        <v/>
      </c>
      <c r="J90" s="4" t="inlineStr"/>
      <c r="K90" s="4" t="n"/>
    </row>
    <row r="91">
      <c r="A91" s="4">
        <f>'Inventario ANTERIOR (borrado)'!A91</f>
        <v/>
      </c>
      <c r="B91" s="4">
        <f>'Inventario ANTERIOR (borrado)'!B91</f>
        <v/>
      </c>
      <c r="C91" s="4">
        <f>IFERROR(INDEX('Inventario ACTUAL (nuevo)'!$B:$B,MATCH(B91,'Inventario ACTUAL (nuevo)'!$B:$B,0)),"")</f>
        <v/>
      </c>
      <c r="D91" s="4">
        <f>IFERROR(INDEX('Inventario ACTUAL (nuevo)'!$A:$A,MATCH(B91,'Inventario ACTUAL (nuevo)'!$B:$B,0)),"")</f>
        <v/>
      </c>
      <c r="E91" s="4" t="n">
        <v>63</v>
      </c>
      <c r="F91" s="4" t="n"/>
      <c r="G91" s="4">
        <f>SUMIFS('Movimientos ANTERIOR (detalle)'!$E:$E,'Movimientos ANTERIOR (detalle)'!$A:$A,A91,'Movimientos ANTERIOR (detalle)'!$D:$D,"Entrada")</f>
        <v/>
      </c>
      <c r="H91" s="4">
        <f>SUMIFS('Movimientos ANTERIOR (detalle)'!$E:$E,'Movimientos ANTERIOR (detalle)'!$A:$A,A91,'Movimientos ANTERIOR (detalle)'!$D:$D,"Salida")</f>
        <v/>
      </c>
      <c r="I91" s="4">
        <f>'Inventario ANTERIOR (borrado)'!G91</f>
        <v/>
      </c>
      <c r="J91" s="4" t="inlineStr"/>
      <c r="K91" s="4" t="n"/>
    </row>
    <row r="92">
      <c r="A92" s="4">
        <f>'Inventario ANTERIOR (borrado)'!A92</f>
        <v/>
      </c>
      <c r="B92" s="4">
        <f>'Inventario ANTERIOR (borrado)'!B92</f>
        <v/>
      </c>
      <c r="C92" s="4">
        <f>IFERROR(INDEX('Inventario ACTUAL (nuevo)'!$B:$B,MATCH(B92,'Inventario ACTUAL (nuevo)'!$B:$B,0)),"")</f>
        <v/>
      </c>
      <c r="D92" s="4">
        <f>IFERROR(INDEX('Inventario ACTUAL (nuevo)'!$A:$A,MATCH(B92,'Inventario ACTUAL (nuevo)'!$B:$B,0)),"")</f>
        <v/>
      </c>
      <c r="E92" s="4" t="n">
        <v>62</v>
      </c>
      <c r="F92" s="4" t="n"/>
      <c r="G92" s="4">
        <f>SUMIFS('Movimientos ANTERIOR (detalle)'!$E:$E,'Movimientos ANTERIOR (detalle)'!$A:$A,A92,'Movimientos ANTERIOR (detalle)'!$D:$D,"Entrada")</f>
        <v/>
      </c>
      <c r="H92" s="4">
        <f>SUMIFS('Movimientos ANTERIOR (detalle)'!$E:$E,'Movimientos ANTERIOR (detalle)'!$A:$A,A92,'Movimientos ANTERIOR (detalle)'!$D:$D,"Salida")</f>
        <v/>
      </c>
      <c r="I92" s="4">
        <f>'Inventario ANTERIOR (borrado)'!G92</f>
        <v/>
      </c>
      <c r="J92" s="4" t="inlineStr"/>
      <c r="K92" s="4" t="n"/>
    </row>
    <row r="93">
      <c r="A93" s="4">
        <f>'Inventario ANTERIOR (borrado)'!A93</f>
        <v/>
      </c>
      <c r="B93" s="4">
        <f>'Inventario ANTERIOR (borrado)'!B93</f>
        <v/>
      </c>
      <c r="C93" s="4">
        <f>IFERROR(INDEX('Inventario ACTUAL (nuevo)'!$B:$B,MATCH(B93,'Inventario ACTUAL (nuevo)'!$B:$B,0)),"")</f>
        <v/>
      </c>
      <c r="D93" s="4">
        <f>IFERROR(INDEX('Inventario ACTUAL (nuevo)'!$A:$A,MATCH(B93,'Inventario ACTUAL (nuevo)'!$B:$B,0)),"")</f>
        <v/>
      </c>
      <c r="E93" s="4" t="n">
        <v>56</v>
      </c>
      <c r="F93" s="4" t="n"/>
      <c r="G93" s="4">
        <f>SUMIFS('Movimientos ANTERIOR (detalle)'!$E:$E,'Movimientos ANTERIOR (detalle)'!$A:$A,A93,'Movimientos ANTERIOR (detalle)'!$D:$D,"Entrada")</f>
        <v/>
      </c>
      <c r="H93" s="4">
        <f>SUMIFS('Movimientos ANTERIOR (detalle)'!$E:$E,'Movimientos ANTERIOR (detalle)'!$A:$A,A93,'Movimientos ANTERIOR (detalle)'!$D:$D,"Salida")</f>
        <v/>
      </c>
      <c r="I93" s="4">
        <f>'Inventario ANTERIOR (borrado)'!G93</f>
        <v/>
      </c>
      <c r="J93" s="4" t="inlineStr"/>
      <c r="K93" s="4" t="n"/>
    </row>
    <row r="94">
      <c r="A94" s="4">
        <f>'Inventario ANTERIOR (borrado)'!A94</f>
        <v/>
      </c>
      <c r="B94" s="4">
        <f>'Inventario ANTERIOR (borrado)'!B94</f>
        <v/>
      </c>
      <c r="C94" s="4">
        <f>IFERROR(INDEX('Inventario ACTUAL (nuevo)'!$B:$B,MATCH(B94,'Inventario ACTUAL (nuevo)'!$B:$B,0)),"")</f>
        <v/>
      </c>
      <c r="D94" s="4">
        <f>IFERROR(INDEX('Inventario ACTUAL (nuevo)'!$A:$A,MATCH(B94,'Inventario ACTUAL (nuevo)'!$B:$B,0)),"")</f>
        <v/>
      </c>
      <c r="E94" s="4" t="n">
        <v>62</v>
      </c>
      <c r="F94" s="4" t="n"/>
      <c r="G94" s="4">
        <f>SUMIFS('Movimientos ANTERIOR (detalle)'!$E:$E,'Movimientos ANTERIOR (detalle)'!$A:$A,A94,'Movimientos ANTERIOR (detalle)'!$D:$D,"Entrada")</f>
        <v/>
      </c>
      <c r="H94" s="4">
        <f>SUMIFS('Movimientos ANTERIOR (detalle)'!$E:$E,'Movimientos ANTERIOR (detalle)'!$A:$A,A94,'Movimientos ANTERIOR (detalle)'!$D:$D,"Salida")</f>
        <v/>
      </c>
      <c r="I94" s="4">
        <f>'Inventario ANTERIOR (borrado)'!G94</f>
        <v/>
      </c>
      <c r="J94" s="4" t="inlineStr"/>
      <c r="K94" s="4" t="n"/>
    </row>
    <row r="95">
      <c r="A95" s="4">
        <f>'Inventario ANTERIOR (borrado)'!A95</f>
        <v/>
      </c>
      <c r="B95" s="4">
        <f>'Inventario ANTERIOR (borrado)'!B95</f>
        <v/>
      </c>
      <c r="C95" s="4">
        <f>IFERROR(INDEX('Inventario ACTUAL (nuevo)'!$B:$B,MATCH(B95,'Inventario ACTUAL (nuevo)'!$B:$B,0)),"")</f>
        <v/>
      </c>
      <c r="D95" s="4">
        <f>IFERROR(INDEX('Inventario ACTUAL (nuevo)'!$A:$A,MATCH(B95,'Inventario ACTUAL (nuevo)'!$B:$B,0)),"")</f>
        <v/>
      </c>
      <c r="E95" s="4" t="n">
        <v>62</v>
      </c>
      <c r="F95" s="4" t="n"/>
      <c r="G95" s="4">
        <f>SUMIFS('Movimientos ANTERIOR (detalle)'!$E:$E,'Movimientos ANTERIOR (detalle)'!$A:$A,A95,'Movimientos ANTERIOR (detalle)'!$D:$D,"Entrada")</f>
        <v/>
      </c>
      <c r="H95" s="4">
        <f>SUMIFS('Movimientos ANTERIOR (detalle)'!$E:$E,'Movimientos ANTERIOR (detalle)'!$A:$A,A95,'Movimientos ANTERIOR (detalle)'!$D:$D,"Salida")</f>
        <v/>
      </c>
      <c r="I95" s="4">
        <f>'Inventario ANTERIOR (borrado)'!G95</f>
        <v/>
      </c>
      <c r="J95" s="4" t="inlineStr"/>
      <c r="K95" s="4" t="n"/>
    </row>
    <row r="96">
      <c r="A96" s="4">
        <f>'Inventario ANTERIOR (borrado)'!A96</f>
        <v/>
      </c>
      <c r="B96" s="4">
        <f>'Inventario ANTERIOR (borrado)'!B96</f>
        <v/>
      </c>
      <c r="C96" s="4">
        <f>IFERROR(INDEX('Inventario ACTUAL (nuevo)'!$B:$B,MATCH(B96,'Inventario ACTUAL (nuevo)'!$B:$B,0)),"")</f>
        <v/>
      </c>
      <c r="D96" s="4">
        <f>IFERROR(INDEX('Inventario ACTUAL (nuevo)'!$A:$A,MATCH(B96,'Inventario ACTUAL (nuevo)'!$B:$B,0)),"")</f>
        <v/>
      </c>
      <c r="E96" s="4" t="n">
        <v>57</v>
      </c>
      <c r="F96" s="4" t="n"/>
      <c r="G96" s="4">
        <f>SUMIFS('Movimientos ANTERIOR (detalle)'!$E:$E,'Movimientos ANTERIOR (detalle)'!$A:$A,A96,'Movimientos ANTERIOR (detalle)'!$D:$D,"Entrada")</f>
        <v/>
      </c>
      <c r="H96" s="4">
        <f>SUMIFS('Movimientos ANTERIOR (detalle)'!$E:$E,'Movimientos ANTERIOR (detalle)'!$A:$A,A96,'Movimientos ANTERIOR (detalle)'!$D:$D,"Salida")</f>
        <v/>
      </c>
      <c r="I96" s="4">
        <f>'Inventario ANTERIOR (borrado)'!G96</f>
        <v/>
      </c>
      <c r="J96" s="4" t="inlineStr"/>
      <c r="K96" s="4" t="n"/>
    </row>
    <row r="97">
      <c r="A97" s="4">
        <f>'Inventario ANTERIOR (borrado)'!A97</f>
        <v/>
      </c>
      <c r="B97" s="4">
        <f>'Inventario ANTERIOR (borrado)'!B97</f>
        <v/>
      </c>
      <c r="C97" s="7">
        <f>IFERROR(INDEX('Inventario ACTUAL (nuevo)'!$B:$B,MATCH(B97,'Inventario ACTUAL (nuevo)'!$B:$B,0)),"RULIMAN -6204")</f>
        <v/>
      </c>
      <c r="D97" s="7">
        <f>IFERROR(INDEX('Inventario ACTUAL (nuevo)'!$A:$A,MATCH(B97,'Inventario ACTUAL (nuevo)'!$B:$B,0)),"INTMUR7FAZ1ZT")</f>
        <v/>
      </c>
      <c r="E97" s="7" t="n">
        <v>92</v>
      </c>
      <c r="F97" s="4" t="n"/>
      <c r="G97" s="4">
        <f>SUMIFS('Movimientos ANTERIOR (detalle)'!$E:$E,'Movimientos ANTERIOR (detalle)'!$A:$A,A97,'Movimientos ANTERIOR (detalle)'!$D:$D,"Entrada")</f>
        <v/>
      </c>
      <c r="H97" s="4">
        <f>SUMIFS('Movimientos ANTERIOR (detalle)'!$E:$E,'Movimientos ANTERIOR (detalle)'!$A:$A,A97,'Movimientos ANTERIOR (detalle)'!$D:$D,"Salida")</f>
        <v/>
      </c>
      <c r="I97" s="4">
        <f>'Inventario ANTERIOR (borrado)'!G97</f>
        <v/>
      </c>
      <c r="J97" s="4" t="inlineStr"/>
      <c r="K97" s="4" t="n"/>
    </row>
    <row r="98">
      <c r="A98" s="4">
        <f>'Inventario ANTERIOR (borrado)'!A98</f>
        <v/>
      </c>
      <c r="B98" s="4">
        <f>'Inventario ANTERIOR (borrado)'!B98</f>
        <v/>
      </c>
      <c r="C98" s="6">
        <f>IFERROR(INDEX('Inventario ACTUAL (nuevo)'!$B:$B,MATCH(B98,'Inventario ACTUAL (nuevo)'!$B:$B,0)),"RULIMAN -6204")</f>
        <v/>
      </c>
      <c r="D98" s="6">
        <f>IFERROR(INDEX('Inventario ACTUAL (nuevo)'!$A:$A,MATCH(B98,'Inventario ACTUAL (nuevo)'!$B:$B,0)),"INTMUR7FAZ1ZT")</f>
        <v/>
      </c>
      <c r="E98" s="6" t="n">
        <v>100</v>
      </c>
      <c r="F98" s="4" t="n"/>
      <c r="G98" s="4">
        <f>SUMIFS('Movimientos ANTERIOR (detalle)'!$E:$E,'Movimientos ANTERIOR (detalle)'!$A:$A,A98,'Movimientos ANTERIOR (detalle)'!$D:$D,"Entrada")</f>
        <v/>
      </c>
      <c r="H98" s="4">
        <f>SUMIFS('Movimientos ANTERIOR (detalle)'!$E:$E,'Movimientos ANTERIOR (detalle)'!$A:$A,A98,'Movimientos ANTERIOR (detalle)'!$D:$D,"Salida")</f>
        <v/>
      </c>
      <c r="I98" s="4">
        <f>'Inventario ANTERIOR (borrado)'!G98</f>
        <v/>
      </c>
      <c r="J98" s="4" t="inlineStr"/>
      <c r="K98" s="4" t="n"/>
    </row>
    <row r="99">
      <c r="A99" s="4">
        <f>'Inventario ANTERIOR (borrado)'!A99</f>
        <v/>
      </c>
      <c r="B99" s="4">
        <f>'Inventario ANTERIOR (borrado)'!B99</f>
        <v/>
      </c>
      <c r="C99" s="6">
        <f>IFERROR(INDEX('Inventario ACTUAL (nuevo)'!$B:$B,MATCH(B99,'Inventario ACTUAL (nuevo)'!$B:$B,0)),"RULIMAN -6204")</f>
        <v/>
      </c>
      <c r="D99" s="6">
        <f>IFERROR(INDEX('Inventario ACTUAL (nuevo)'!$A:$A,MATCH(B99,'Inventario ACTUAL (nuevo)'!$B:$B,0)),"INTMUR7FAZ1ZT")</f>
        <v/>
      </c>
      <c r="E99" s="6" t="n">
        <v>100</v>
      </c>
      <c r="F99" s="4" t="n"/>
      <c r="G99" s="4">
        <f>SUMIFS('Movimientos ANTERIOR (detalle)'!$E:$E,'Movimientos ANTERIOR (detalle)'!$A:$A,A99,'Movimientos ANTERIOR (detalle)'!$D:$D,"Entrada")</f>
        <v/>
      </c>
      <c r="H99" s="4">
        <f>SUMIFS('Movimientos ANTERIOR (detalle)'!$E:$E,'Movimientos ANTERIOR (detalle)'!$A:$A,A99,'Movimientos ANTERIOR (detalle)'!$D:$D,"Salida")</f>
        <v/>
      </c>
      <c r="I99" s="4">
        <f>'Inventario ANTERIOR (borrado)'!G99</f>
        <v/>
      </c>
      <c r="J99" s="4" t="inlineStr"/>
      <c r="K99" s="4" t="n"/>
    </row>
    <row r="100">
      <c r="A100" s="4">
        <f>'Inventario ANTERIOR (borrado)'!A100</f>
        <v/>
      </c>
      <c r="B100" s="4">
        <f>'Inventario ANTERIOR (borrado)'!B100</f>
        <v/>
      </c>
      <c r="C100" s="6">
        <f>IFERROR(INDEX('Inventario ACTUAL (nuevo)'!$B:$B,MATCH(B100,'Inventario ACTUAL (nuevo)'!$B:$B,0)),"RULIMAN 6301")</f>
        <v/>
      </c>
      <c r="D100" s="6">
        <f>IFERROR(INDEX('Inventario ACTUAL (nuevo)'!$A:$A,MATCH(B100,'Inventario ACTUAL (nuevo)'!$B:$B,0)),"INTMUR7ZW06JI")</f>
        <v/>
      </c>
      <c r="E100" s="6" t="n">
        <v>100</v>
      </c>
      <c r="F100" s="4" t="n"/>
      <c r="G100" s="4">
        <f>SUMIFS('Movimientos ANTERIOR (detalle)'!$E:$E,'Movimientos ANTERIOR (detalle)'!$A:$A,A100,'Movimientos ANTERIOR (detalle)'!$D:$D,"Entrada")</f>
        <v/>
      </c>
      <c r="H100" s="4">
        <f>SUMIFS('Movimientos ANTERIOR (detalle)'!$E:$E,'Movimientos ANTERIOR (detalle)'!$A:$A,A100,'Movimientos ANTERIOR (detalle)'!$D:$D,"Salida")</f>
        <v/>
      </c>
      <c r="I100" s="4">
        <f>'Inventario ANTERIOR (borrado)'!G100</f>
        <v/>
      </c>
      <c r="J100" s="4" t="inlineStr"/>
      <c r="K100" s="4" t="n"/>
    </row>
    <row r="101">
      <c r="A101" s="4">
        <f>'Inventario ANTERIOR (borrado)'!A101</f>
        <v/>
      </c>
      <c r="B101" s="4">
        <f>'Inventario ANTERIOR (borrado)'!B101</f>
        <v/>
      </c>
      <c r="C101" s="6">
        <f>IFERROR(INDEX('Inventario ACTUAL (nuevo)'!$B:$B,MATCH(B101,'Inventario ACTUAL (nuevo)'!$B:$B,0)),"RULIMAN 6301")</f>
        <v/>
      </c>
      <c r="D101" s="6">
        <f>IFERROR(INDEX('Inventario ACTUAL (nuevo)'!$A:$A,MATCH(B101,'Inventario ACTUAL (nuevo)'!$B:$B,0)),"INTMUR7ZW06JI")</f>
        <v/>
      </c>
      <c r="E101" s="6" t="n">
        <v>100</v>
      </c>
      <c r="F101" s="4" t="n"/>
      <c r="G101" s="4">
        <f>SUMIFS('Movimientos ANTERIOR (detalle)'!$E:$E,'Movimientos ANTERIOR (detalle)'!$A:$A,A101,'Movimientos ANTERIOR (detalle)'!$D:$D,"Entrada")</f>
        <v/>
      </c>
      <c r="H101" s="4">
        <f>SUMIFS('Movimientos ANTERIOR (detalle)'!$E:$E,'Movimientos ANTERIOR (detalle)'!$A:$A,A101,'Movimientos ANTERIOR (detalle)'!$D:$D,"Salida")</f>
        <v/>
      </c>
      <c r="I101" s="4">
        <f>'Inventario ANTERIOR (borrado)'!G101</f>
        <v/>
      </c>
      <c r="J101" s="4" t="inlineStr"/>
      <c r="K101" s="4" t="n"/>
    </row>
    <row r="102">
      <c r="A102" s="4">
        <f>'Inventario ANTERIOR (borrado)'!A102</f>
        <v/>
      </c>
      <c r="B102" s="4">
        <f>'Inventario ANTERIOR (borrado)'!B102</f>
        <v/>
      </c>
      <c r="C102" s="6">
        <f>IFERROR(INDEX('Inventario ACTUAL (nuevo)'!$B:$B,MATCH(B102,'Inventario ACTUAL (nuevo)'!$B:$B,0)),"RULIMAN 6302")</f>
        <v/>
      </c>
      <c r="D102" s="6">
        <f>IFERROR(INDEX('Inventario ACTUAL (nuevo)'!$A:$A,MATCH(B102,'Inventario ACTUAL (nuevo)'!$B:$B,0)),"INTMUR80FGDDK")</f>
        <v/>
      </c>
      <c r="E102" s="6" t="n">
        <v>100</v>
      </c>
      <c r="F102" s="4" t="n"/>
      <c r="G102" s="4">
        <f>SUMIFS('Movimientos ANTERIOR (detalle)'!$E:$E,'Movimientos ANTERIOR (detalle)'!$A:$A,A102,'Movimientos ANTERIOR (detalle)'!$D:$D,"Entrada")</f>
        <v/>
      </c>
      <c r="H102" s="4">
        <f>SUMIFS('Movimientos ANTERIOR (detalle)'!$E:$E,'Movimientos ANTERIOR (detalle)'!$A:$A,A102,'Movimientos ANTERIOR (detalle)'!$D:$D,"Salida")</f>
        <v/>
      </c>
      <c r="I102" s="4">
        <f>'Inventario ANTERIOR (borrado)'!G102</f>
        <v/>
      </c>
      <c r="J102" s="4" t="inlineStr"/>
      <c r="K102" s="4" t="n"/>
    </row>
    <row r="103">
      <c r="A103" s="4">
        <f>'Inventario ANTERIOR (borrado)'!A103</f>
        <v/>
      </c>
      <c r="B103" s="4">
        <f>'Inventario ANTERIOR (borrado)'!B103</f>
        <v/>
      </c>
      <c r="C103" s="6">
        <f>IFERROR(INDEX('Inventario ACTUAL (nuevo)'!$B:$B,MATCH(B103,'Inventario ACTUAL (nuevo)'!$B:$B,0)),"RULIMAN 6302")</f>
        <v/>
      </c>
      <c r="D103" s="6">
        <f>IFERROR(INDEX('Inventario ACTUAL (nuevo)'!$A:$A,MATCH(B103,'Inventario ACTUAL (nuevo)'!$B:$B,0)),"INTMUR80FGDDK")</f>
        <v/>
      </c>
      <c r="E103" s="6" t="n">
        <v>100</v>
      </c>
      <c r="F103" s="4" t="n"/>
      <c r="G103" s="4">
        <f>SUMIFS('Movimientos ANTERIOR (detalle)'!$E:$E,'Movimientos ANTERIOR (detalle)'!$A:$A,A103,'Movimientos ANTERIOR (detalle)'!$D:$D,"Entrada")</f>
        <v/>
      </c>
      <c r="H103" s="4">
        <f>SUMIFS('Movimientos ANTERIOR (detalle)'!$E:$E,'Movimientos ANTERIOR (detalle)'!$A:$A,A103,'Movimientos ANTERIOR (detalle)'!$D:$D,"Salida")</f>
        <v/>
      </c>
      <c r="I103" s="4">
        <f>'Inventario ANTERIOR (borrado)'!G103</f>
        <v/>
      </c>
      <c r="J103" s="4" t="inlineStr"/>
      <c r="K103" s="4" t="n"/>
    </row>
    <row r="104">
      <c r="A104" s="4">
        <f>'Inventario ANTERIOR (borrado)'!A104</f>
        <v/>
      </c>
      <c r="B104" s="4">
        <f>'Inventario ANTERIOR (borrado)'!B104</f>
        <v/>
      </c>
      <c r="C104" s="4">
        <f>IFERROR(INDEX('Inventario ACTUAL (nuevo)'!$B:$B,MATCH(B104,'Inventario ACTUAL (nuevo)'!$B:$B,0)),"")</f>
        <v/>
      </c>
      <c r="D104" s="4">
        <f>IFERROR(INDEX('Inventario ACTUAL (nuevo)'!$A:$A,MATCH(B104,'Inventario ACTUAL (nuevo)'!$B:$B,0)),"")</f>
        <v/>
      </c>
      <c r="E104" s="4" t="n">
        <v>69</v>
      </c>
      <c r="F104" s="4" t="n"/>
      <c r="G104" s="4">
        <f>SUMIFS('Movimientos ANTERIOR (detalle)'!$E:$E,'Movimientos ANTERIOR (detalle)'!$A:$A,A104,'Movimientos ANTERIOR (detalle)'!$D:$D,"Entrada")</f>
        <v/>
      </c>
      <c r="H104" s="4">
        <f>SUMIFS('Movimientos ANTERIOR (detalle)'!$E:$E,'Movimientos ANTERIOR (detalle)'!$A:$A,A104,'Movimientos ANTERIOR (detalle)'!$D:$D,"Salida")</f>
        <v/>
      </c>
      <c r="I104" s="4">
        <f>'Inventario ANTERIOR (borrado)'!G104</f>
        <v/>
      </c>
      <c r="J104" s="4" t="inlineStr"/>
      <c r="K104" s="4" t="n"/>
    </row>
    <row r="105">
      <c r="A105" s="4">
        <f>'Inventario ANTERIOR (borrado)'!A105</f>
        <v/>
      </c>
      <c r="B105" s="4">
        <f>'Inventario ANTERIOR (borrado)'!B105</f>
        <v/>
      </c>
      <c r="C105" s="4">
        <f>IFERROR(INDEX('Inventario ACTUAL (nuevo)'!$B:$B,MATCH(B105,'Inventario ACTUAL (nuevo)'!$B:$B,0)),"")</f>
        <v/>
      </c>
      <c r="D105" s="4">
        <f>IFERROR(INDEX('Inventario ACTUAL (nuevo)'!$A:$A,MATCH(B105,'Inventario ACTUAL (nuevo)'!$B:$B,0)),"")</f>
        <v/>
      </c>
      <c r="E105" s="4" t="n">
        <v>51</v>
      </c>
      <c r="F105" s="4" t="n"/>
      <c r="G105" s="4">
        <f>SUMIFS('Movimientos ANTERIOR (detalle)'!$E:$E,'Movimientos ANTERIOR (detalle)'!$A:$A,A105,'Movimientos ANTERIOR (detalle)'!$D:$D,"Entrada")</f>
        <v/>
      </c>
      <c r="H105" s="4">
        <f>SUMIFS('Movimientos ANTERIOR (detalle)'!$E:$E,'Movimientos ANTERIOR (detalle)'!$A:$A,A105,'Movimientos ANTERIOR (detalle)'!$D:$D,"Salida")</f>
        <v/>
      </c>
      <c r="I105" s="4">
        <f>'Inventario ANTERIOR (borrado)'!G105</f>
        <v/>
      </c>
      <c r="J105" s="4" t="inlineStr"/>
      <c r="K105" s="4" t="n"/>
    </row>
    <row r="106">
      <c r="A106" s="4">
        <f>'Inventario ANTERIOR (borrado)'!A106</f>
        <v/>
      </c>
      <c r="B106" s="4">
        <f>'Inventario ANTERIOR (borrado)'!B106</f>
        <v/>
      </c>
      <c r="C106" s="4">
        <f>IFERROR(INDEX('Inventario ACTUAL (nuevo)'!$B:$B,MATCH(B106,'Inventario ACTUAL (nuevo)'!$B:$B,0)),"")</f>
        <v/>
      </c>
      <c r="D106" s="4">
        <f>IFERROR(INDEX('Inventario ACTUAL (nuevo)'!$A:$A,MATCH(B106,'Inventario ACTUAL (nuevo)'!$B:$B,0)),"")</f>
        <v/>
      </c>
      <c r="E106" s="4" t="n">
        <v>50</v>
      </c>
      <c r="F106" s="4" t="n"/>
      <c r="G106" s="4">
        <f>SUMIFS('Movimientos ANTERIOR (detalle)'!$E:$E,'Movimientos ANTERIOR (detalle)'!$A:$A,A106,'Movimientos ANTERIOR (detalle)'!$D:$D,"Entrada")</f>
        <v/>
      </c>
      <c r="H106" s="4">
        <f>SUMIFS('Movimientos ANTERIOR (detalle)'!$E:$E,'Movimientos ANTERIOR (detalle)'!$A:$A,A106,'Movimientos ANTERIOR (detalle)'!$D:$D,"Salida")</f>
        <v/>
      </c>
      <c r="I106" s="4">
        <f>'Inventario ANTERIOR (borrado)'!G106</f>
        <v/>
      </c>
      <c r="J106" s="4" t="inlineStr"/>
      <c r="K106" s="4" t="n"/>
    </row>
    <row r="107">
      <c r="A107" s="4">
        <f>'Inventario ANTERIOR (borrado)'!A107</f>
        <v/>
      </c>
      <c r="B107" s="4">
        <f>'Inventario ANTERIOR (borrado)'!B107</f>
        <v/>
      </c>
      <c r="C107" s="6">
        <f>IFERROR(INDEX('Inventario ACTUAL (nuevo)'!$B:$B,MATCH(B107,'Inventario ACTUAL (nuevo)'!$B:$B,0)),"STOP")</f>
        <v/>
      </c>
      <c r="D107" s="6">
        <f>IFERROR(INDEX('Inventario ACTUAL (nuevo)'!$A:$A,MATCH(B107,'Inventario ACTUAL (nuevo)'!$B:$B,0)),"INTMV849SU9JU")</f>
        <v/>
      </c>
      <c r="E107" s="6" t="n">
        <v>100</v>
      </c>
      <c r="F107" s="4" t="n"/>
      <c r="G107" s="4">
        <f>SUMIFS('Movimientos ANTERIOR (detalle)'!$E:$E,'Movimientos ANTERIOR (detalle)'!$A:$A,A107,'Movimientos ANTERIOR (detalle)'!$D:$D,"Entrada")</f>
        <v/>
      </c>
      <c r="H107" s="4">
        <f>SUMIFS('Movimientos ANTERIOR (detalle)'!$E:$E,'Movimientos ANTERIOR (detalle)'!$A:$A,A107,'Movimientos ANTERIOR (detalle)'!$D:$D,"Salida")</f>
        <v/>
      </c>
      <c r="I107" s="4">
        <f>'Inventario ANTERIOR (borrado)'!G107</f>
        <v/>
      </c>
      <c r="J107" s="4" t="inlineStr"/>
      <c r="K107" s="4" t="n"/>
    </row>
    <row r="108">
      <c r="A108" s="4">
        <f>'Inventario ANTERIOR (borrado)'!A108</f>
        <v/>
      </c>
      <c r="B108" s="4">
        <f>'Inventario ANTERIOR (borrado)'!B108</f>
        <v/>
      </c>
      <c r="C108" s="6">
        <f>IFERROR(INDEX('Inventario ACTUAL (nuevo)'!$B:$B,MATCH(B108,'Inventario ACTUAL (nuevo)'!$B:$B,0)),"STOP")</f>
        <v/>
      </c>
      <c r="D108" s="6">
        <f>IFERROR(INDEX('Inventario ACTUAL (nuevo)'!$A:$A,MATCH(B108,'Inventario ACTUAL (nuevo)'!$B:$B,0)),"INTMV849SU9JU")</f>
        <v/>
      </c>
      <c r="E108" s="6" t="n">
        <v>100</v>
      </c>
      <c r="F108" s="4" t="n"/>
      <c r="G108" s="4">
        <f>SUMIFS('Movimientos ANTERIOR (detalle)'!$E:$E,'Movimientos ANTERIOR (detalle)'!$A:$A,A108,'Movimientos ANTERIOR (detalle)'!$D:$D,"Entrada")</f>
        <v/>
      </c>
      <c r="H108" s="4">
        <f>SUMIFS('Movimientos ANTERIOR (detalle)'!$E:$E,'Movimientos ANTERIOR (detalle)'!$A:$A,A108,'Movimientos ANTERIOR (detalle)'!$D:$D,"Salida")</f>
        <v/>
      </c>
      <c r="I108" s="4">
        <f>'Inventario ANTERIOR (borrado)'!G108</f>
        <v/>
      </c>
      <c r="J108" s="4" t="inlineStr"/>
      <c r="K108" s="4" t="n"/>
    </row>
    <row r="109">
      <c r="A109" s="4">
        <f>'Inventario ANTERIOR (borrado)'!A109</f>
        <v/>
      </c>
      <c r="B109" s="4">
        <f>'Inventario ANTERIOR (borrado)'!B109</f>
        <v/>
      </c>
      <c r="C109" s="5">
        <f>IFERROR(INDEX('Inventario ACTUAL (nuevo)'!$B:$B,MATCH(B109,'Inventario ACTUAL (nuevo)'!$B:$B,0)),"SHICHE")</f>
        <v/>
      </c>
      <c r="D109" s="5">
        <f>IFERROR(INDEX('Inventario ACTUAL (nuevo)'!$A:$A,MATCH(B109,'Inventario ACTUAL (nuevo)'!$B:$B,0)),"INTMUR7TCW617")</f>
        <v/>
      </c>
      <c r="E109" s="5" t="n">
        <v>77</v>
      </c>
      <c r="F109" s="4" t="n"/>
      <c r="G109" s="4">
        <f>SUMIFS('Movimientos ANTERIOR (detalle)'!$E:$E,'Movimientos ANTERIOR (detalle)'!$A:$A,A109,'Movimientos ANTERIOR (detalle)'!$D:$D,"Entrada")</f>
        <v/>
      </c>
      <c r="H109" s="4">
        <f>SUMIFS('Movimientos ANTERIOR (detalle)'!$E:$E,'Movimientos ANTERIOR (detalle)'!$A:$A,A109,'Movimientos ANTERIOR (detalle)'!$D:$D,"Salida")</f>
        <v/>
      </c>
      <c r="I109" s="4">
        <f>'Inventario ANTERIOR (borrado)'!G109</f>
        <v/>
      </c>
      <c r="J109" s="4" t="inlineStr"/>
      <c r="K109" s="4" t="n"/>
    </row>
    <row r="110">
      <c r="A110" s="4">
        <f>'Inventario ANTERIOR (borrado)'!A110</f>
        <v/>
      </c>
      <c r="B110" s="4">
        <f>'Inventario ANTERIOR (borrado)'!B110</f>
        <v/>
      </c>
      <c r="C110" s="6">
        <f>IFERROR(INDEX('Inventario ACTUAL (nuevo)'!$B:$B,MATCH(B110,'Inventario ACTUAL (nuevo)'!$B:$B,0)),"TABLERO")</f>
        <v/>
      </c>
      <c r="D110" s="6">
        <f>IFERROR(INDEX('Inventario ACTUAL (nuevo)'!$A:$A,MATCH(B110,'Inventario ACTUAL (nuevo)'!$B:$B,0)),"INTMUR8693X5W")</f>
        <v/>
      </c>
      <c r="E110" s="6" t="n">
        <v>100</v>
      </c>
      <c r="F110" s="4" t="n"/>
      <c r="G110" s="4">
        <f>SUMIFS('Movimientos ANTERIOR (detalle)'!$E:$E,'Movimientos ANTERIOR (detalle)'!$A:$A,A110,'Movimientos ANTERIOR (detalle)'!$D:$D,"Entrada")</f>
        <v/>
      </c>
      <c r="H110" s="4">
        <f>SUMIFS('Movimientos ANTERIOR (detalle)'!$E:$E,'Movimientos ANTERIOR (detalle)'!$A:$A,A110,'Movimientos ANTERIOR (detalle)'!$D:$D,"Salida")</f>
        <v/>
      </c>
      <c r="I110" s="4">
        <f>'Inventario ANTERIOR (borrado)'!G110</f>
        <v/>
      </c>
      <c r="J110" s="4" t="inlineStr"/>
      <c r="K110" s="4" t="n"/>
    </row>
    <row r="111">
      <c r="A111" s="4">
        <f>'Inventario ANTERIOR (borrado)'!A111</f>
        <v/>
      </c>
      <c r="B111" s="4">
        <f>'Inventario ANTERIOR (borrado)'!B111</f>
        <v/>
      </c>
      <c r="C111" s="7">
        <f>IFERROR(INDEX('Inventario ACTUAL (nuevo)'!$B:$B,MATCH(B111,'Inventario ACTUAL (nuevo)'!$B:$B,0)),"LLAVE DE GASOLINA")</f>
        <v/>
      </c>
      <c r="D111" s="7">
        <f>IFERROR(INDEX('Inventario ACTUAL (nuevo)'!$A:$A,MATCH(B111,'Inventario ACTUAL (nuevo)'!$B:$B,0)),"INTMUWUAQ5AIV")</f>
        <v/>
      </c>
      <c r="E111" s="7" t="n">
        <v>80</v>
      </c>
      <c r="F111" s="4" t="n"/>
      <c r="G111" s="4">
        <f>SUMIFS('Movimientos ANTERIOR (detalle)'!$E:$E,'Movimientos ANTERIOR (detalle)'!$A:$A,A111,'Movimientos ANTERIOR (detalle)'!$D:$D,"Entrada")</f>
        <v/>
      </c>
      <c r="H111" s="4">
        <f>SUMIFS('Movimientos ANTERIOR (detalle)'!$E:$E,'Movimientos ANTERIOR (detalle)'!$A:$A,A111,'Movimientos ANTERIOR (detalle)'!$D:$D,"Salida")</f>
        <v/>
      </c>
      <c r="I111" s="4">
        <f>'Inventario ANTERIOR (borrado)'!G111</f>
        <v/>
      </c>
      <c r="J111" s="4" t="inlineStr"/>
      <c r="K111" s="4" t="n"/>
    </row>
    <row r="112">
      <c r="A112" s="4">
        <f>'Inventario ANTERIOR (borrado)'!A112</f>
        <v/>
      </c>
      <c r="B112" s="4">
        <f>'Inventario ANTERIOR (borrado)'!B112</f>
        <v/>
      </c>
      <c r="C112" s="4">
        <f>IFERROR(INDEX('Inventario ACTUAL (nuevo)'!$B:$B,MATCH(B112,'Inventario ACTUAL (nuevo)'!$B:$B,0)),"")</f>
        <v/>
      </c>
      <c r="D112" s="4">
        <f>IFERROR(INDEX('Inventario ACTUAL (nuevo)'!$A:$A,MATCH(B112,'Inventario ACTUAL (nuevo)'!$B:$B,0)),"")</f>
        <v/>
      </c>
      <c r="E112" s="4" t="n">
        <v>53</v>
      </c>
      <c r="F112" s="4" t="n"/>
      <c r="G112" s="4">
        <f>SUMIFS('Movimientos ANTERIOR (detalle)'!$E:$E,'Movimientos ANTERIOR (detalle)'!$A:$A,A112,'Movimientos ANTERIOR (detalle)'!$D:$D,"Entrada")</f>
        <v/>
      </c>
      <c r="H112" s="4">
        <f>SUMIFS('Movimientos ANTERIOR (detalle)'!$E:$E,'Movimientos ANTERIOR (detalle)'!$A:$A,A112,'Movimientos ANTERIOR (detalle)'!$D:$D,"Salida")</f>
        <v/>
      </c>
      <c r="I112" s="4">
        <f>'Inventario ANTERIOR (borrado)'!G112</f>
        <v/>
      </c>
      <c r="J112" s="4" t="inlineStr"/>
      <c r="K112" s="4" t="n"/>
    </row>
    <row r="113">
      <c r="A113" s="4">
        <f>'Inventario ANTERIOR (borrado)'!A113</f>
        <v/>
      </c>
      <c r="B113" s="4">
        <f>'Inventario ANTERIOR (borrado)'!B113</f>
        <v/>
      </c>
      <c r="C113" s="4">
        <f>IFERROR(INDEX('Inventario ACTUAL (nuevo)'!$B:$B,MATCH(B113,'Inventario ACTUAL (nuevo)'!$B:$B,0)),"")</f>
        <v/>
      </c>
      <c r="D113" s="4">
        <f>IFERROR(INDEX('Inventario ACTUAL (nuevo)'!$A:$A,MATCH(B113,'Inventario ACTUAL (nuevo)'!$B:$B,0)),"")</f>
        <v/>
      </c>
      <c r="E113" s="4" t="n">
        <v>68</v>
      </c>
      <c r="F113" s="4" t="n"/>
      <c r="G113" s="4">
        <f>SUMIFS('Movimientos ANTERIOR (detalle)'!$E:$E,'Movimientos ANTERIOR (detalle)'!$A:$A,A113,'Movimientos ANTERIOR (detalle)'!$D:$D,"Entrada")</f>
        <v/>
      </c>
      <c r="H113" s="4">
        <f>SUMIFS('Movimientos ANTERIOR (detalle)'!$E:$E,'Movimientos ANTERIOR (detalle)'!$A:$A,A113,'Movimientos ANTERIOR (detalle)'!$D:$D,"Salida")</f>
        <v/>
      </c>
      <c r="I113" s="4">
        <f>'Inventario ANTERIOR (borrado)'!G113</f>
        <v/>
      </c>
      <c r="J113" s="4" t="inlineStr"/>
      <c r="K113" s="4" t="n"/>
    </row>
    <row r="114">
      <c r="A114" s="4">
        <f>'Inventario ANTERIOR (borrado)'!A114</f>
        <v/>
      </c>
      <c r="B114" s="4">
        <f>'Inventario ANTERIOR (borrado)'!B114</f>
        <v/>
      </c>
      <c r="C114" s="4">
        <f>IFERROR(INDEX('Inventario ACTUAL (nuevo)'!$B:$B,MATCH(B114,'Inventario ACTUAL (nuevo)'!$B:$B,0)),"")</f>
        <v/>
      </c>
      <c r="D114" s="4">
        <f>IFERROR(INDEX('Inventario ACTUAL (nuevo)'!$A:$A,MATCH(B114,'Inventario ACTUAL (nuevo)'!$B:$B,0)),"")</f>
        <v/>
      </c>
      <c r="E114" s="4" t="n">
        <v>62</v>
      </c>
      <c r="F114" s="4" t="n"/>
      <c r="G114" s="4">
        <f>SUMIFS('Movimientos ANTERIOR (detalle)'!$E:$E,'Movimientos ANTERIOR (detalle)'!$A:$A,A114,'Movimientos ANTERIOR (detalle)'!$D:$D,"Entrada")</f>
        <v/>
      </c>
      <c r="H114" s="4">
        <f>SUMIFS('Movimientos ANTERIOR (detalle)'!$E:$E,'Movimientos ANTERIOR (detalle)'!$A:$A,A114,'Movimientos ANTERIOR (detalle)'!$D:$D,"Salida")</f>
        <v/>
      </c>
      <c r="I114" s="4">
        <f>'Inventario ANTERIOR (borrado)'!G114</f>
        <v/>
      </c>
      <c r="J114" s="4" t="inlineStr"/>
      <c r="K114" s="4" t="n"/>
    </row>
    <row r="115">
      <c r="A115" s="4">
        <f>'Inventario ANTERIOR (borrado)'!A115</f>
        <v/>
      </c>
      <c r="B115" s="4">
        <f>'Inventario ANTERIOR (borrado)'!B115</f>
        <v/>
      </c>
      <c r="C115" s="4">
        <f>IFERROR(INDEX('Inventario ACTUAL (nuevo)'!$B:$B,MATCH(B115,'Inventario ACTUAL (nuevo)'!$B:$B,0)),"")</f>
        <v/>
      </c>
      <c r="D115" s="4">
        <f>IFERROR(INDEX('Inventario ACTUAL (nuevo)'!$A:$A,MATCH(B115,'Inventario ACTUAL (nuevo)'!$B:$B,0)),"")</f>
        <v/>
      </c>
      <c r="E115" s="4" t="n">
        <v>59</v>
      </c>
      <c r="F115" s="4" t="n"/>
      <c r="G115" s="4">
        <f>SUMIFS('Movimientos ANTERIOR (detalle)'!$E:$E,'Movimientos ANTERIOR (detalle)'!$A:$A,A115,'Movimientos ANTERIOR (detalle)'!$D:$D,"Entrada")</f>
        <v/>
      </c>
      <c r="H115" s="4">
        <f>SUMIFS('Movimientos ANTERIOR (detalle)'!$E:$E,'Movimientos ANTERIOR (detalle)'!$A:$A,A115,'Movimientos ANTERIOR (detalle)'!$D:$D,"Salida")</f>
        <v/>
      </c>
      <c r="I115" s="4">
        <f>'Inventario ANTERIOR (borrado)'!G115</f>
        <v/>
      </c>
      <c r="J115" s="4" t="inlineStr"/>
      <c r="K115" s="4" t="n"/>
    </row>
    <row r="116">
      <c r="A116" s="8">
        <f>'Inventario ANTERIOR (borrado)'!A116</f>
        <v/>
      </c>
      <c r="B116" s="8">
        <f>'Inventario ANTERIOR (borrado)'!B116</f>
        <v/>
      </c>
      <c r="C116" s="9">
        <f>IFERROR(INDEX('Inventario ACTUAL (nuevo)'!$B:$B,MATCH(B116,'Inventario ACTUAL (nuevo)'!$B:$B,0)),"TEMPLADOR DE CADENA")</f>
        <v/>
      </c>
      <c r="D116" s="9">
        <f>IFERROR(INDEX('Inventario ACTUAL (nuevo)'!$A:$A,MATCH(B116,'Inventario ACTUAL (nuevo)'!$B:$B,0)),"INTMUR7I6L5ZB")</f>
        <v/>
      </c>
      <c r="E116" s="9" t="n">
        <v>100</v>
      </c>
      <c r="F116" s="8" t="n"/>
      <c r="G116" s="8">
        <f>SUMIFS('Movimientos ANTERIOR (detalle)'!$E:$E,'Movimientos ANTERIOR (detalle)'!$A:$A,A116,'Movimientos ANTERIOR (detalle)'!$D:$D,"Entrada")</f>
        <v/>
      </c>
      <c r="H116" s="8">
        <f>SUMIFS('Movimientos ANTERIOR (detalle)'!$E:$E,'Movimientos ANTERIOR (detalle)'!$A:$A,A116,'Movimientos ANTERIOR (detalle)'!$D:$D,"Salida")</f>
        <v/>
      </c>
      <c r="I116" s="8">
        <f>'Inventario ANTERIOR (borrado)'!G116</f>
        <v/>
      </c>
      <c r="J116" s="8" t="inlineStr">
        <is>
          <t>SÍ — N° 371 · Colón Moto · 22/09/2026</t>
        </is>
      </c>
      <c r="K116" s="8" t="n"/>
    </row>
    <row r="117">
      <c r="A117" s="4">
        <f>'Inventario ANTERIOR (borrado)'!A117</f>
        <v/>
      </c>
      <c r="B117" s="4">
        <f>'Inventario ANTERIOR (borrado)'!B117</f>
        <v/>
      </c>
      <c r="C117" s="7">
        <f>IFERROR(INDEX('Inventario ACTUAL (nuevo)'!$B:$B,MATCH(B117,'Inventario ACTUAL (nuevo)'!$B:$B,0)),"TENSON DE CADENILLA")</f>
        <v/>
      </c>
      <c r="D117" s="7">
        <f>IFERROR(INDEX('Inventario ACTUAL (nuevo)'!$A:$A,MATCH(B117,'Inventario ACTUAL (nuevo)'!$B:$B,0)),"INTMUR7YIDCYE")</f>
        <v/>
      </c>
      <c r="E117" s="7" t="n">
        <v>95</v>
      </c>
      <c r="F117" s="4" t="n"/>
      <c r="G117" s="4">
        <f>SUMIFS('Movimientos ANTERIOR (detalle)'!$E:$E,'Movimientos ANTERIOR (detalle)'!$A:$A,A117,'Movimientos ANTERIOR (detalle)'!$D:$D,"Entrada")</f>
        <v/>
      </c>
      <c r="H117" s="4">
        <f>SUMIFS('Movimientos ANTERIOR (detalle)'!$E:$E,'Movimientos ANTERIOR (detalle)'!$A:$A,A117,'Movimientos ANTERIOR (detalle)'!$D:$D,"Salida")</f>
        <v/>
      </c>
      <c r="I117" s="4">
        <f>'Inventario ANTERIOR (borrado)'!G117</f>
        <v/>
      </c>
      <c r="J117" s="4" t="inlineStr"/>
      <c r="K117" s="4" t="n"/>
    </row>
    <row r="118">
      <c r="A118" s="4">
        <f>'Inventario ANTERIOR (borrado)'!A118</f>
        <v/>
      </c>
      <c r="B118" s="4">
        <f>'Inventario ANTERIOR (borrado)'!B118</f>
        <v/>
      </c>
      <c r="C118" s="4">
        <f>IFERROR(INDEX('Inventario ACTUAL (nuevo)'!$B:$B,MATCH(B118,'Inventario ACTUAL (nuevo)'!$B:$B,0)),"")</f>
        <v/>
      </c>
      <c r="D118" s="4">
        <f>IFERROR(INDEX('Inventario ACTUAL (nuevo)'!$A:$A,MATCH(B118,'Inventario ACTUAL (nuevo)'!$B:$B,0)),"")</f>
        <v/>
      </c>
      <c r="E118" s="4" t="n">
        <v>60</v>
      </c>
      <c r="F118" s="4" t="n"/>
      <c r="G118" s="4">
        <f>SUMIFS('Movimientos ANTERIOR (detalle)'!$E:$E,'Movimientos ANTERIOR (detalle)'!$A:$A,A118,'Movimientos ANTERIOR (detalle)'!$D:$D,"Entrada")</f>
        <v/>
      </c>
      <c r="H118" s="4">
        <f>SUMIFS('Movimientos ANTERIOR (detalle)'!$E:$E,'Movimientos ANTERIOR (detalle)'!$A:$A,A118,'Movimientos ANTERIOR (detalle)'!$D:$D,"Salida")</f>
        <v/>
      </c>
      <c r="I118" s="4">
        <f>'Inventario ANTERIOR (borrado)'!G118</f>
        <v/>
      </c>
      <c r="J118" s="4" t="inlineStr"/>
      <c r="K118" s="4" t="n"/>
    </row>
    <row r="119">
      <c r="A119" s="4">
        <f>'Inventario ANTERIOR (borrado)'!A119</f>
        <v/>
      </c>
      <c r="B119" s="4">
        <f>'Inventario ANTERIOR (borrado)'!B119</f>
        <v/>
      </c>
      <c r="C119" s="4">
        <f>IFERROR(INDEX('Inventario ACTUAL (nuevo)'!$B:$B,MATCH(B119,'Inventario ACTUAL (nuevo)'!$B:$B,0)),"")</f>
        <v/>
      </c>
      <c r="D119" s="4">
        <f>IFERROR(INDEX('Inventario ACTUAL (nuevo)'!$A:$A,MATCH(B119,'Inventario ACTUAL (nuevo)'!$B:$B,0)),"")</f>
        <v/>
      </c>
      <c r="E119" s="4" t="n">
        <v>69</v>
      </c>
      <c r="F119" s="4" t="n"/>
      <c r="G119" s="4">
        <f>SUMIFS('Movimientos ANTERIOR (detalle)'!$E:$E,'Movimientos ANTERIOR (detalle)'!$A:$A,A119,'Movimientos ANTERIOR (detalle)'!$D:$D,"Entrada")</f>
        <v/>
      </c>
      <c r="H119" s="4">
        <f>SUMIFS('Movimientos ANTERIOR (detalle)'!$E:$E,'Movimientos ANTERIOR (detalle)'!$A:$A,A119,'Movimientos ANTERIOR (detalle)'!$D:$D,"Salida")</f>
        <v/>
      </c>
      <c r="I119" s="4">
        <f>'Inventario ANTERIOR (borrado)'!G119</f>
        <v/>
      </c>
      <c r="J119" s="4" t="inlineStr"/>
      <c r="K119" s="4" t="n"/>
    </row>
    <row r="120">
      <c r="A120" s="4">
        <f>'Inventario ANTERIOR (borrado)'!A120</f>
        <v/>
      </c>
      <c r="B120" s="4">
        <f>'Inventario ANTERIOR (borrado)'!B120</f>
        <v/>
      </c>
      <c r="C120" s="4">
        <f>IFERROR(INDEX('Inventario ACTUAL (nuevo)'!$B:$B,MATCH(B120,'Inventario ACTUAL (nuevo)'!$B:$B,0)),"")</f>
        <v/>
      </c>
      <c r="D120" s="4">
        <f>IFERROR(INDEX('Inventario ACTUAL (nuevo)'!$A:$A,MATCH(B120,'Inventario ACTUAL (nuevo)'!$B:$B,0)),"")</f>
        <v/>
      </c>
      <c r="E120" s="4" t="n">
        <v>53</v>
      </c>
      <c r="F120" s="4" t="n"/>
      <c r="G120" s="4">
        <f>SUMIFS('Movimientos ANTERIOR (detalle)'!$E:$E,'Movimientos ANTERIOR (detalle)'!$A:$A,A120,'Movimientos ANTERIOR (detalle)'!$D:$D,"Entrada")</f>
        <v/>
      </c>
      <c r="H120" s="4">
        <f>SUMIFS('Movimientos ANTERIOR (detalle)'!$E:$E,'Movimientos ANTERIOR (detalle)'!$A:$A,A120,'Movimientos ANTERIOR (detalle)'!$D:$D,"Salida")</f>
        <v/>
      </c>
      <c r="I120" s="4">
        <f>'Inventario ANTERIOR (borrado)'!G120</f>
        <v/>
      </c>
      <c r="J120" s="4" t="inlineStr"/>
      <c r="K120" s="4" t="n"/>
    </row>
    <row r="121">
      <c r="A121" s="4">
        <f>'Inventario ANTERIOR (borrado)'!A121</f>
        <v/>
      </c>
      <c r="B121" s="4">
        <f>'Inventario ANTERIOR (borrado)'!B121</f>
        <v/>
      </c>
      <c r="C121" s="5">
        <f>IFERROR(INDEX('Inventario ACTUAL (nuevo)'!$B:$B,MATCH(B121,'Inventario ACTUAL (nuevo)'!$B:$B,0)),"VALVULA")</f>
        <v/>
      </c>
      <c r="D121" s="5">
        <f>IFERROR(INDEX('Inventario ACTUAL (nuevo)'!$A:$A,MATCH(B121,'Inventario ACTUAL (nuevo)'!$B:$B,0)),"INTMUR7O0JV18")</f>
        <v/>
      </c>
      <c r="E121" s="5" t="n">
        <v>78</v>
      </c>
      <c r="F121" s="4" t="n"/>
      <c r="G121" s="4">
        <f>SUMIFS('Movimientos ANTERIOR (detalle)'!$E:$E,'Movimientos ANTERIOR (detalle)'!$A:$A,A121,'Movimientos ANTERIOR (detalle)'!$D:$D,"Entrada")</f>
        <v/>
      </c>
      <c r="H121" s="4">
        <f>SUMIFS('Movimientos ANTERIOR (detalle)'!$E:$E,'Movimientos ANTERIOR (detalle)'!$A:$A,A121,'Movimientos ANTERIOR (detalle)'!$D:$D,"Salida")</f>
        <v/>
      </c>
      <c r="I121" s="4">
        <f>'Inventario ANTERIOR (borrado)'!G121</f>
        <v/>
      </c>
      <c r="J121" s="4" t="inlineStr"/>
      <c r="K121" s="4" t="n"/>
    </row>
    <row r="122">
      <c r="A122" s="4">
        <f>'Inventario ANTERIOR (borrado)'!A122</f>
        <v/>
      </c>
      <c r="B122" s="4">
        <f>'Inventario ANTERIOR (borrado)'!B122</f>
        <v/>
      </c>
      <c r="C122" s="7">
        <f>IFERROR(INDEX('Inventario ACTUAL (nuevo)'!$B:$B,MATCH(B122,'Inventario ACTUAL (nuevo)'!$B:$B,0)),"ZAPATA")</f>
        <v/>
      </c>
      <c r="D122" s="7">
        <f>IFERROR(INDEX('Inventario ACTUAL (nuevo)'!$A:$A,MATCH(B122,'Inventario ACTUAL (nuevo)'!$B:$B,0)),"INTMUR7FZX39J")</f>
        <v/>
      </c>
      <c r="E122" s="7" t="n">
        <v>80</v>
      </c>
      <c r="F122" s="4" t="n"/>
      <c r="G122" s="4">
        <f>SUMIFS('Movimientos ANTERIOR (detalle)'!$E:$E,'Movimientos ANTERIOR (detalle)'!$A:$A,A122,'Movimientos ANTERIOR (detalle)'!$D:$D,"Entrada")</f>
        <v/>
      </c>
      <c r="H122" s="4">
        <f>SUMIFS('Movimientos ANTERIOR (detalle)'!$E:$E,'Movimientos ANTERIOR (detalle)'!$A:$A,A122,'Movimientos ANTERIOR (detalle)'!$D:$D,"Salida")</f>
        <v/>
      </c>
      <c r="I122" s="4">
        <f>'Inventario ANTERIOR (borrado)'!G122</f>
        <v/>
      </c>
      <c r="J122" s="4" t="inlineStr"/>
      <c r="K122" s="4" t="n"/>
    </row>
  </sheetData>
  <dataValidations count="1">
    <dataValidation sqref="F2:F122" showDropDown="0" showInputMessage="1" showErrorMessage="1" allowBlank="1" errorTitle="Producto no reconocido" error="Elija un producto de la lista (use la flecha de la celda)." promptTitle="Código nuevo CONFIRMADO" prompt="Escriba o busque el nombre del producto nuevo y elíjalo de la lista." type="list">
      <formula1>ListaProductosNuevos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4" customHeight="1">
      <c r="A1" s="3" t="inlineStr">
        <is>
          <t>Código anterior</t>
        </is>
      </c>
      <c r="B1" s="3" t="inlineStr">
        <is>
          <t>Producto</t>
        </is>
      </c>
      <c r="C1" s="3" t="inlineStr">
        <is>
          <t>Categoría</t>
        </is>
      </c>
      <c r="D1" s="3" t="inlineStr">
        <is>
          <t>Ubicación</t>
        </is>
      </c>
      <c r="E1" s="3" t="inlineStr">
        <is>
          <t>Entradas totales</t>
        </is>
      </c>
      <c r="F1" s="3" t="inlineStr">
        <is>
          <t>Salidas totales</t>
        </is>
      </c>
      <c r="G1" s="3" t="inlineStr">
        <is>
          <t>Stock al respaldo</t>
        </is>
      </c>
    </row>
    <row r="2">
      <c r="A2" t="inlineStr">
        <is>
          <t>067</t>
        </is>
      </c>
      <c r="B2" t="inlineStr">
        <is>
          <t>ACCESORIO BOTÓN PRENDE Y APAGA 2CABLE</t>
        </is>
      </c>
      <c r="C2" t="inlineStr">
        <is>
          <t>SUZUKI</t>
        </is>
      </c>
      <c r="D2" t="inlineStr"/>
      <c r="E2" t="n">
        <v>70</v>
      </c>
      <c r="F2" t="n">
        <v>0</v>
      </c>
      <c r="G2" t="n">
        <v>70</v>
      </c>
    </row>
    <row r="3">
      <c r="A3" t="inlineStr">
        <is>
          <t>068</t>
        </is>
      </c>
      <c r="B3" t="inlineStr">
        <is>
          <t>AMORTIGUADOR GN125 POSTERIOR</t>
        </is>
      </c>
      <c r="C3" t="inlineStr">
        <is>
          <t>SUZUKI</t>
        </is>
      </c>
      <c r="D3" t="inlineStr"/>
      <c r="E3" t="n">
        <v>29</v>
      </c>
      <c r="F3" t="n">
        <v>0</v>
      </c>
      <c r="G3" t="n">
        <v>29</v>
      </c>
    </row>
    <row r="4">
      <c r="A4" t="inlineStr">
        <is>
          <t>041</t>
        </is>
      </c>
      <c r="B4" t="inlineStr">
        <is>
          <t>ANILLO DE FUEGO</t>
        </is>
      </c>
      <c r="C4" t="inlineStr">
        <is>
          <t>SUZUKI</t>
        </is>
      </c>
      <c r="D4" t="inlineStr">
        <is>
          <t>DURAN</t>
        </is>
      </c>
      <c r="E4" t="n">
        <v>104</v>
      </c>
      <c r="F4" t="n">
        <v>5</v>
      </c>
      <c r="G4" t="n">
        <v>99</v>
      </c>
    </row>
    <row r="5">
      <c r="A5" t="inlineStr">
        <is>
          <t>020</t>
        </is>
      </c>
      <c r="B5" t="inlineStr">
        <is>
          <t>ARO DELANTERO</t>
        </is>
      </c>
      <c r="C5" t="inlineStr">
        <is>
          <t>SUZUKI</t>
        </is>
      </c>
      <c r="D5" t="inlineStr">
        <is>
          <t>DURAN</t>
        </is>
      </c>
      <c r="E5" t="n">
        <v>0</v>
      </c>
      <c r="F5" t="n">
        <v>0</v>
      </c>
      <c r="G5" t="n">
        <v>0</v>
      </c>
    </row>
    <row r="6">
      <c r="A6" t="inlineStr">
        <is>
          <t>069</t>
        </is>
      </c>
      <c r="B6" t="inlineStr">
        <is>
          <t>ARO POST GN 125 REFORZADO</t>
        </is>
      </c>
      <c r="C6" t="inlineStr">
        <is>
          <t>SUZUKI</t>
        </is>
      </c>
      <c r="D6" t="inlineStr"/>
      <c r="E6" t="n">
        <v>15</v>
      </c>
      <c r="F6" t="n">
        <v>0</v>
      </c>
      <c r="G6" t="n">
        <v>15</v>
      </c>
    </row>
    <row r="7">
      <c r="A7" t="inlineStr">
        <is>
          <t>021</t>
        </is>
      </c>
      <c r="B7" t="inlineStr">
        <is>
          <t>ARO TRASERO</t>
        </is>
      </c>
      <c r="C7" t="inlineStr">
        <is>
          <t>SUZUKI</t>
        </is>
      </c>
      <c r="D7" t="inlineStr">
        <is>
          <t>DURAN</t>
        </is>
      </c>
      <c r="E7" t="n">
        <v>0</v>
      </c>
      <c r="F7" t="n">
        <v>0</v>
      </c>
      <c r="G7" t="n">
        <v>0</v>
      </c>
    </row>
    <row r="8">
      <c r="A8" t="inlineStr">
        <is>
          <t>071</t>
        </is>
      </c>
      <c r="B8" t="inlineStr">
        <is>
          <t>AUTOMÁTICO GN 125 SIN CABLE</t>
        </is>
      </c>
      <c r="C8" t="inlineStr">
        <is>
          <t>SUZUKI</t>
        </is>
      </c>
      <c r="D8" t="inlineStr"/>
      <c r="E8" t="n">
        <v>35</v>
      </c>
      <c r="F8" t="n">
        <v>0</v>
      </c>
      <c r="G8" t="n">
        <v>35</v>
      </c>
    </row>
    <row r="9">
      <c r="A9" t="inlineStr">
        <is>
          <t>073</t>
        </is>
      </c>
      <c r="B9" t="inlineStr">
        <is>
          <t>BARRA TELESCÓPICA GN125 NOVA</t>
        </is>
      </c>
      <c r="C9" t="inlineStr">
        <is>
          <t>SUZUKI</t>
        </is>
      </c>
      <c r="D9" t="inlineStr"/>
      <c r="E9" t="n">
        <v>27</v>
      </c>
      <c r="F9" t="n">
        <v>0</v>
      </c>
      <c r="G9" t="n">
        <v>27</v>
      </c>
    </row>
    <row r="10">
      <c r="A10" t="inlineStr">
        <is>
          <t>076</t>
        </is>
      </c>
      <c r="B10" t="inlineStr">
        <is>
          <t>BATERIA</t>
        </is>
      </c>
      <c r="C10" t="inlineStr">
        <is>
          <t>SUZUKI</t>
        </is>
      </c>
      <c r="D10" t="inlineStr"/>
      <c r="E10" t="n">
        <v>29</v>
      </c>
      <c r="F10" t="n">
        <v>0</v>
      </c>
      <c r="G10" t="n">
        <v>29</v>
      </c>
    </row>
    <row r="11">
      <c r="A11" t="inlineStr">
        <is>
          <t>074</t>
        </is>
      </c>
      <c r="B11" t="inlineStr">
        <is>
          <t>BENDIX</t>
        </is>
      </c>
      <c r="C11" t="inlineStr">
        <is>
          <t>SUZUKI</t>
        </is>
      </c>
      <c r="D11" t="inlineStr"/>
      <c r="E11" t="n">
        <v>30</v>
      </c>
      <c r="F11" t="n">
        <v>0</v>
      </c>
      <c r="G11" t="n">
        <v>30</v>
      </c>
    </row>
    <row r="12">
      <c r="A12" t="inlineStr">
        <is>
          <t>075</t>
        </is>
      </c>
      <c r="B12" t="inlineStr">
        <is>
          <t>BOBIN CENTRAL GN 125</t>
        </is>
      </c>
      <c r="C12" t="inlineStr">
        <is>
          <t>SUZUKI</t>
        </is>
      </c>
      <c r="D12" t="inlineStr"/>
      <c r="E12" t="n">
        <v>0</v>
      </c>
      <c r="F12" t="n">
        <v>0</v>
      </c>
      <c r="G12" t="n">
        <v>0</v>
      </c>
    </row>
    <row r="13">
      <c r="A13" t="inlineStr">
        <is>
          <t>045</t>
        </is>
      </c>
      <c r="B13" t="inlineStr">
        <is>
          <t>BOBINA DE BUJIA</t>
        </is>
      </c>
      <c r="C13" t="inlineStr">
        <is>
          <t>SUZUKI</t>
        </is>
      </c>
      <c r="D13" t="inlineStr">
        <is>
          <t>DURAN</t>
        </is>
      </c>
      <c r="E13" t="n">
        <v>25</v>
      </c>
      <c r="F13" t="n">
        <v>0</v>
      </c>
      <c r="G13" t="n">
        <v>25</v>
      </c>
    </row>
    <row r="14">
      <c r="A14" t="inlineStr">
        <is>
          <t>031</t>
        </is>
      </c>
      <c r="B14" t="inlineStr">
        <is>
          <t>BOBINA DE CAMPO</t>
        </is>
      </c>
      <c r="C14" t="inlineStr">
        <is>
          <t>SUZUKI</t>
        </is>
      </c>
      <c r="D14" t="inlineStr">
        <is>
          <t>DURAN</t>
        </is>
      </c>
      <c r="E14" t="n">
        <v>35</v>
      </c>
      <c r="F14" t="n">
        <v>2</v>
      </c>
      <c r="G14" t="n">
        <v>33</v>
      </c>
    </row>
    <row r="15">
      <c r="A15" t="inlineStr">
        <is>
          <t>0075</t>
        </is>
      </c>
      <c r="B15" t="inlineStr">
        <is>
          <t>BOCÍN CENTRAL GN125</t>
        </is>
      </c>
      <c r="C15" t="inlineStr">
        <is>
          <t>SUZUKI</t>
        </is>
      </c>
      <c r="D15" t="inlineStr"/>
      <c r="E15" t="n">
        <v>80</v>
      </c>
      <c r="F15" t="n">
        <v>0</v>
      </c>
      <c r="G15" t="n">
        <v>80</v>
      </c>
    </row>
    <row r="16">
      <c r="A16" t="inlineStr">
        <is>
          <t>003</t>
        </is>
      </c>
      <c r="B16" t="inlineStr">
        <is>
          <t>BOLLA DE TANQUE</t>
        </is>
      </c>
      <c r="C16" t="inlineStr">
        <is>
          <t>SUZUKI</t>
        </is>
      </c>
      <c r="D16" t="inlineStr">
        <is>
          <t>CASA DURAN</t>
        </is>
      </c>
      <c r="E16" t="n">
        <v>0</v>
      </c>
      <c r="F16" t="n">
        <v>0</v>
      </c>
      <c r="G16" t="n">
        <v>0</v>
      </c>
    </row>
    <row r="17">
      <c r="A17" t="inlineStr">
        <is>
          <t>057</t>
        </is>
      </c>
      <c r="B17" t="inlineStr">
        <is>
          <t>BOMBA DE FRENO DELANTERO</t>
        </is>
      </c>
      <c r="C17" t="inlineStr">
        <is>
          <t>SUZUKI</t>
        </is>
      </c>
      <c r="D17" t="inlineStr">
        <is>
          <t>DURAN</t>
        </is>
      </c>
      <c r="E17" t="n">
        <v>0</v>
      </c>
      <c r="F17" t="n">
        <v>0</v>
      </c>
      <c r="G17" t="n">
        <v>0</v>
      </c>
    </row>
    <row r="18">
      <c r="A18" t="inlineStr">
        <is>
          <t>730143313377</t>
        </is>
      </c>
      <c r="B18" t="inlineStr">
        <is>
          <t>borrar amd</t>
        </is>
      </c>
      <c r="C18" t="inlineStr"/>
      <c r="D18" t="inlineStr"/>
      <c r="E18" t="n">
        <v>3</v>
      </c>
      <c r="F18" t="n">
        <v>0</v>
      </c>
      <c r="G18" t="n">
        <v>3</v>
      </c>
    </row>
    <row r="19">
      <c r="A19" t="inlineStr">
        <is>
          <t>813002010089</t>
        </is>
      </c>
      <c r="B19" t="inlineStr">
        <is>
          <t>borrar pilas</t>
        </is>
      </c>
      <c r="C19" t="inlineStr"/>
      <c r="D19" t="inlineStr"/>
      <c r="E19" t="n">
        <v>5</v>
      </c>
      <c r="F19" t="n">
        <v>0</v>
      </c>
      <c r="G19" t="n">
        <v>5</v>
      </c>
    </row>
    <row r="20">
      <c r="A20" t="inlineStr">
        <is>
          <t>6935364085476</t>
        </is>
      </c>
      <c r="B20" t="inlineStr">
        <is>
          <t>borrar tplink</t>
        </is>
      </c>
      <c r="C20" t="inlineStr"/>
      <c r="D20" t="inlineStr"/>
      <c r="E20" t="n">
        <v>5</v>
      </c>
      <c r="F20" t="n">
        <v>0</v>
      </c>
      <c r="G20" t="n">
        <v>5</v>
      </c>
    </row>
    <row r="21">
      <c r="A21" t="inlineStr">
        <is>
          <t>062</t>
        </is>
      </c>
      <c r="B21" t="inlineStr">
        <is>
          <t>BUJIAS</t>
        </is>
      </c>
      <c r="C21" t="inlineStr">
        <is>
          <t>SUZUKI</t>
        </is>
      </c>
      <c r="D21" t="inlineStr">
        <is>
          <t>DURAN</t>
        </is>
      </c>
      <c r="E21" t="n">
        <v>100</v>
      </c>
      <c r="F21" t="n">
        <v>0</v>
      </c>
      <c r="G21" t="n">
        <v>100</v>
      </c>
    </row>
    <row r="22">
      <c r="A22" t="inlineStr">
        <is>
          <t>082</t>
        </is>
      </c>
      <c r="B22" t="inlineStr">
        <is>
          <t>CABEZOTE COMPLETO GN125</t>
        </is>
      </c>
      <c r="C22" t="inlineStr">
        <is>
          <t>SUZUKI</t>
        </is>
      </c>
      <c r="D22" t="inlineStr"/>
      <c r="E22" t="n">
        <v>13</v>
      </c>
      <c r="F22" t="n">
        <v>0</v>
      </c>
      <c r="G22" t="n">
        <v>13</v>
      </c>
    </row>
    <row r="23">
      <c r="A23" t="inlineStr">
        <is>
          <t>038</t>
        </is>
      </c>
      <c r="B23" t="inlineStr">
        <is>
          <t>CABLE DE EMBRAGUE</t>
        </is>
      </c>
      <c r="C23" t="inlineStr">
        <is>
          <t>SUZUKI</t>
        </is>
      </c>
      <c r="D23" t="inlineStr">
        <is>
          <t>DURAN</t>
        </is>
      </c>
      <c r="E23" t="n">
        <v>0</v>
      </c>
      <c r="F23" t="n">
        <v>0</v>
      </c>
      <c r="G23" t="n">
        <v>0</v>
      </c>
    </row>
    <row r="24">
      <c r="A24" t="inlineStr">
        <is>
          <t>078</t>
        </is>
      </c>
      <c r="B24" t="inlineStr">
        <is>
          <t>CABLE DE EMBRAGUE GN125</t>
        </is>
      </c>
      <c r="C24" t="inlineStr">
        <is>
          <t>SUZUKI</t>
        </is>
      </c>
      <c r="D24" t="inlineStr"/>
      <c r="E24" t="n">
        <v>122</v>
      </c>
      <c r="F24" t="n">
        <v>3</v>
      </c>
      <c r="G24" t="n">
        <v>119</v>
      </c>
    </row>
    <row r="25">
      <c r="A25" t="inlineStr">
        <is>
          <t>036</t>
        </is>
      </c>
      <c r="B25" t="inlineStr">
        <is>
          <t>CABLE DE REVOLUCION</t>
        </is>
      </c>
      <c r="C25" t="inlineStr">
        <is>
          <t>SUZUKI</t>
        </is>
      </c>
      <c r="D25" t="inlineStr">
        <is>
          <t>DURAN</t>
        </is>
      </c>
      <c r="E25" t="n">
        <v>0</v>
      </c>
      <c r="F25" t="n">
        <v>0</v>
      </c>
      <c r="G25" t="n">
        <v>0</v>
      </c>
    </row>
    <row r="26">
      <c r="A26" t="inlineStr">
        <is>
          <t>037</t>
        </is>
      </c>
      <c r="B26" t="inlineStr">
        <is>
          <t>CABLE DE VELOCIDAD</t>
        </is>
      </c>
      <c r="C26" t="inlineStr">
        <is>
          <t>SUZUKI</t>
        </is>
      </c>
      <c r="D26" t="inlineStr">
        <is>
          <t>DURAN</t>
        </is>
      </c>
      <c r="E26" t="n">
        <v>30</v>
      </c>
      <c r="F26" t="n">
        <v>0</v>
      </c>
      <c r="G26" t="n">
        <v>30</v>
      </c>
    </row>
    <row r="27">
      <c r="A27" t="inlineStr">
        <is>
          <t>077</t>
        </is>
      </c>
      <c r="B27" t="inlineStr">
        <is>
          <t>CACHIMBA SOLA CG125</t>
        </is>
      </c>
      <c r="C27" t="inlineStr">
        <is>
          <t>SUZUKI</t>
        </is>
      </c>
      <c r="D27" t="inlineStr"/>
      <c r="E27" t="n">
        <v>50</v>
      </c>
      <c r="F27" t="n">
        <v>2</v>
      </c>
      <c r="G27" t="n">
        <v>48</v>
      </c>
    </row>
    <row r="28">
      <c r="A28" t="inlineStr">
        <is>
          <t>080</t>
        </is>
      </c>
      <c r="B28" t="inlineStr">
        <is>
          <t>CADENA 428H-132L</t>
        </is>
      </c>
      <c r="C28" t="inlineStr">
        <is>
          <t>SUZUKI</t>
        </is>
      </c>
      <c r="D28" t="inlineStr"/>
      <c r="E28" t="n">
        <v>73</v>
      </c>
      <c r="F28" t="n">
        <v>3</v>
      </c>
      <c r="G28" t="n">
        <v>70</v>
      </c>
    </row>
    <row r="29">
      <c r="A29" t="inlineStr">
        <is>
          <t>046</t>
        </is>
      </c>
      <c r="B29" t="inlineStr">
        <is>
          <t>CADENILLA DE MOTOR</t>
        </is>
      </c>
      <c r="C29" t="inlineStr">
        <is>
          <t>SUZUKI</t>
        </is>
      </c>
      <c r="D29" t="inlineStr">
        <is>
          <t>DURAN</t>
        </is>
      </c>
      <c r="E29" t="n">
        <v>30</v>
      </c>
      <c r="F29" t="n">
        <v>7</v>
      </c>
      <c r="G29" t="n">
        <v>23</v>
      </c>
    </row>
    <row r="30">
      <c r="A30" t="inlineStr">
        <is>
          <t>042</t>
        </is>
      </c>
      <c r="B30" t="inlineStr">
        <is>
          <t>CAJA DE CAMBIO</t>
        </is>
      </c>
      <c r="C30" t="inlineStr">
        <is>
          <t>SUZUKI</t>
        </is>
      </c>
      <c r="D30" t="inlineStr">
        <is>
          <t>DURAN</t>
        </is>
      </c>
      <c r="E30" t="n">
        <v>0</v>
      </c>
      <c r="F30" t="n">
        <v>0</v>
      </c>
      <c r="G30" t="n">
        <v>0</v>
      </c>
    </row>
    <row r="31">
      <c r="A31" t="inlineStr">
        <is>
          <t>022</t>
        </is>
      </c>
      <c r="B31" t="inlineStr">
        <is>
          <t>CAÑA DE ACELERADOR</t>
        </is>
      </c>
      <c r="C31" t="inlineStr">
        <is>
          <t>SUZUKI</t>
        </is>
      </c>
      <c r="D31" t="inlineStr">
        <is>
          <t>DURAN</t>
        </is>
      </c>
      <c r="E31" t="n">
        <v>0</v>
      </c>
      <c r="F31" t="n">
        <v>0</v>
      </c>
      <c r="G31" t="n">
        <v>0</v>
      </c>
    </row>
    <row r="32">
      <c r="A32" t="inlineStr">
        <is>
          <t>017</t>
        </is>
      </c>
      <c r="B32" t="inlineStr">
        <is>
          <t>CARTONES DE PARCHE</t>
        </is>
      </c>
      <c r="C32" t="inlineStr">
        <is>
          <t>SUZUKI</t>
        </is>
      </c>
      <c r="D32" t="inlineStr">
        <is>
          <t>DURAN</t>
        </is>
      </c>
      <c r="E32" t="n">
        <v>0</v>
      </c>
      <c r="F32" t="n">
        <v>0</v>
      </c>
      <c r="G32" t="n">
        <v>0</v>
      </c>
    </row>
    <row r="33">
      <c r="A33" t="inlineStr">
        <is>
          <t>081</t>
        </is>
      </c>
      <c r="B33" t="inlineStr">
        <is>
          <t>CATALINA ACERO PULIDO GN125</t>
        </is>
      </c>
      <c r="C33" t="inlineStr">
        <is>
          <t>SUZUKI</t>
        </is>
      </c>
      <c r="D33" t="inlineStr"/>
      <c r="E33" t="n">
        <v>73</v>
      </c>
      <c r="F33" t="n">
        <v>3</v>
      </c>
      <c r="G33" t="n">
        <v>70</v>
      </c>
    </row>
    <row r="34">
      <c r="A34" t="inlineStr">
        <is>
          <t>070</t>
        </is>
      </c>
      <c r="B34" t="inlineStr">
        <is>
          <t>CAUCHO DE TANQUE GN</t>
        </is>
      </c>
      <c r="C34" t="inlineStr">
        <is>
          <t>SUZUKI</t>
        </is>
      </c>
      <c r="D34" t="inlineStr"/>
      <c r="E34" t="n">
        <v>50</v>
      </c>
      <c r="F34" t="n">
        <v>0</v>
      </c>
      <c r="G34" t="n">
        <v>50</v>
      </c>
    </row>
    <row r="35">
      <c r="A35" t="inlineStr">
        <is>
          <t>079</t>
        </is>
      </c>
      <c r="B35" t="inlineStr">
        <is>
          <t>CAUCHO DE VALVULAS</t>
        </is>
      </c>
      <c r="C35" t="inlineStr">
        <is>
          <t>SUZUKI</t>
        </is>
      </c>
      <c r="D35" t="inlineStr"/>
      <c r="E35" t="n">
        <v>30</v>
      </c>
      <c r="F35" t="n">
        <v>5</v>
      </c>
      <c r="G35" t="n">
        <v>25</v>
      </c>
    </row>
    <row r="36">
      <c r="A36" t="inlineStr">
        <is>
          <t>032</t>
        </is>
      </c>
      <c r="B36" t="inlineStr">
        <is>
          <t>CDI</t>
        </is>
      </c>
      <c r="C36" t="inlineStr">
        <is>
          <t>SUZUKI</t>
        </is>
      </c>
      <c r="D36" t="inlineStr">
        <is>
          <t>DURAN</t>
        </is>
      </c>
      <c r="E36" t="n">
        <v>20</v>
      </c>
      <c r="F36" t="n">
        <v>0</v>
      </c>
      <c r="G36" t="n">
        <v>20</v>
      </c>
    </row>
    <row r="37">
      <c r="A37" t="inlineStr">
        <is>
          <t>083</t>
        </is>
      </c>
      <c r="B37" t="inlineStr">
        <is>
          <t>CILINDRO GN125</t>
        </is>
      </c>
      <c r="C37" t="inlineStr">
        <is>
          <t>SUZUKI</t>
        </is>
      </c>
      <c r="D37" t="inlineStr"/>
      <c r="E37" t="n">
        <v>13</v>
      </c>
      <c r="F37" t="n">
        <v>6</v>
      </c>
      <c r="G37" t="n">
        <v>7</v>
      </c>
    </row>
    <row r="38">
      <c r="A38" t="inlineStr">
        <is>
          <t>072</t>
        </is>
      </c>
      <c r="B38" t="inlineStr">
        <is>
          <t>CINTA AISLANTE</t>
        </is>
      </c>
      <c r="C38" t="inlineStr">
        <is>
          <t>SUZUKI</t>
        </is>
      </c>
      <c r="D38" t="inlineStr"/>
      <c r="E38" t="n">
        <v>50</v>
      </c>
      <c r="F38" t="n">
        <v>2</v>
      </c>
      <c r="G38" t="n">
        <v>48</v>
      </c>
    </row>
    <row r="39">
      <c r="A39" t="inlineStr">
        <is>
          <t>034</t>
        </is>
      </c>
      <c r="B39" t="inlineStr">
        <is>
          <t>DISCO DE FRENO DELANTERO</t>
        </is>
      </c>
      <c r="C39" t="inlineStr">
        <is>
          <t>SUZUKI</t>
        </is>
      </c>
      <c r="D39" t="inlineStr">
        <is>
          <t>DURAN</t>
        </is>
      </c>
      <c r="E39" t="n">
        <v>20</v>
      </c>
      <c r="F39" t="n">
        <v>0</v>
      </c>
      <c r="G39" t="n">
        <v>20</v>
      </c>
    </row>
    <row r="40">
      <c r="A40" t="inlineStr">
        <is>
          <t>065</t>
        </is>
      </c>
      <c r="B40" t="inlineStr">
        <is>
          <t>DOBLE PATA</t>
        </is>
      </c>
      <c r="C40" t="inlineStr">
        <is>
          <t>SUZUKI</t>
        </is>
      </c>
      <c r="D40" t="inlineStr">
        <is>
          <t>DURAN</t>
        </is>
      </c>
      <c r="E40" t="n">
        <v>0</v>
      </c>
      <c r="F40" t="n">
        <v>0</v>
      </c>
      <c r="G40" t="n">
        <v>0</v>
      </c>
    </row>
    <row r="41">
      <c r="A41" t="inlineStr">
        <is>
          <t>027</t>
        </is>
      </c>
      <c r="B41" t="inlineStr">
        <is>
          <t>EJE DE CAMBIO</t>
        </is>
      </c>
      <c r="C41" t="inlineStr">
        <is>
          <t>SUZUKI</t>
        </is>
      </c>
      <c r="D41" t="inlineStr">
        <is>
          <t>DURAN</t>
        </is>
      </c>
      <c r="E41" t="n">
        <v>0</v>
      </c>
      <c r="F41" t="n">
        <v>0</v>
      </c>
      <c r="G41" t="n">
        <v>0</v>
      </c>
    </row>
    <row r="42">
      <c r="A42" t="inlineStr">
        <is>
          <t>026</t>
        </is>
      </c>
      <c r="B42" t="inlineStr">
        <is>
          <t>EJE DELANTERO</t>
        </is>
      </c>
      <c r="C42" t="inlineStr">
        <is>
          <t>SUZUKI</t>
        </is>
      </c>
      <c r="D42" t="inlineStr">
        <is>
          <t>DURAN</t>
        </is>
      </c>
      <c r="E42" t="n">
        <v>0</v>
      </c>
      <c r="F42" t="n">
        <v>0</v>
      </c>
      <c r="G42" t="n">
        <v>0</v>
      </c>
    </row>
    <row r="43">
      <c r="A43" t="inlineStr">
        <is>
          <t>025</t>
        </is>
      </c>
      <c r="B43" t="inlineStr">
        <is>
          <t>EJE TRASERO</t>
        </is>
      </c>
      <c r="C43" t="inlineStr">
        <is>
          <t>SUZUKI</t>
        </is>
      </c>
      <c r="D43" t="inlineStr">
        <is>
          <t>DURAN</t>
        </is>
      </c>
      <c r="E43" t="n">
        <v>0</v>
      </c>
      <c r="F43" t="n">
        <v>0</v>
      </c>
      <c r="G43" t="n">
        <v>0</v>
      </c>
    </row>
    <row r="44">
      <c r="A44" t="inlineStr">
        <is>
          <t>009</t>
        </is>
      </c>
      <c r="B44" t="inlineStr">
        <is>
          <t>ESCAPE</t>
        </is>
      </c>
      <c r="C44" t="inlineStr">
        <is>
          <t>SUZUKI</t>
        </is>
      </c>
      <c r="D44" t="inlineStr">
        <is>
          <t>CASA DURAN</t>
        </is>
      </c>
      <c r="E44" t="n">
        <v>29</v>
      </c>
      <c r="F44" t="n">
        <v>0</v>
      </c>
      <c r="G44" t="n">
        <v>29</v>
      </c>
    </row>
    <row r="45">
      <c r="A45" t="inlineStr">
        <is>
          <t>0113</t>
        </is>
      </c>
      <c r="B45" t="inlineStr">
        <is>
          <t>ESPEJO GN NOVA</t>
        </is>
      </c>
      <c r="C45" t="inlineStr"/>
      <c r="D45" t="inlineStr"/>
      <c r="E45" t="n">
        <v>0</v>
      </c>
      <c r="F45" t="n">
        <v>0</v>
      </c>
      <c r="G45" t="n">
        <v>0</v>
      </c>
    </row>
    <row r="46">
      <c r="A46" t="inlineStr">
        <is>
          <t>058</t>
        </is>
      </c>
      <c r="B46" t="inlineStr">
        <is>
          <t>ESPEJOS (PARES)</t>
        </is>
      </c>
      <c r="C46" t="inlineStr">
        <is>
          <t>SUZUKI</t>
        </is>
      </c>
      <c r="D46" t="inlineStr">
        <is>
          <t>DURAN</t>
        </is>
      </c>
      <c r="E46" t="n">
        <v>50</v>
      </c>
      <c r="F46" t="n">
        <v>6</v>
      </c>
      <c r="G46" t="n">
        <v>44</v>
      </c>
    </row>
    <row r="47">
      <c r="A47" t="inlineStr">
        <is>
          <t>084</t>
        </is>
      </c>
      <c r="B47" t="inlineStr">
        <is>
          <t>ESTRIBO DELANTERO GN125</t>
        </is>
      </c>
      <c r="C47" t="inlineStr">
        <is>
          <t>SUZUKI</t>
        </is>
      </c>
      <c r="D47" t="inlineStr"/>
      <c r="E47" t="n">
        <v>40</v>
      </c>
      <c r="F47" t="n">
        <v>0</v>
      </c>
      <c r="G47" t="n">
        <v>40</v>
      </c>
    </row>
    <row r="48">
      <c r="A48" t="inlineStr">
        <is>
          <t>085</t>
        </is>
      </c>
      <c r="B48" t="inlineStr">
        <is>
          <t>ESTRIBO POSTERIOR GN125</t>
        </is>
      </c>
      <c r="C48" t="inlineStr">
        <is>
          <t>SUZUKI</t>
        </is>
      </c>
      <c r="D48" t="inlineStr"/>
      <c r="E48" t="n">
        <v>40</v>
      </c>
      <c r="F48" t="n">
        <v>0</v>
      </c>
      <c r="G48" t="n">
        <v>40</v>
      </c>
    </row>
    <row r="49">
      <c r="A49" t="inlineStr">
        <is>
          <t>086</t>
        </is>
      </c>
      <c r="B49" t="inlineStr">
        <is>
          <t>FARO GN125 NOVA</t>
        </is>
      </c>
      <c r="C49" t="inlineStr">
        <is>
          <t>SUZUKI</t>
        </is>
      </c>
      <c r="D49" t="inlineStr"/>
      <c r="E49" t="n">
        <v>37</v>
      </c>
      <c r="F49" t="n">
        <v>7</v>
      </c>
      <c r="G49" t="n">
        <v>30</v>
      </c>
    </row>
    <row r="50">
      <c r="A50" t="inlineStr">
        <is>
          <t>048</t>
        </is>
      </c>
      <c r="B50" t="inlineStr">
        <is>
          <t>FILTRO DE ACEITE</t>
        </is>
      </c>
      <c r="C50" t="inlineStr">
        <is>
          <t>SUZUKI</t>
        </is>
      </c>
      <c r="D50" t="inlineStr">
        <is>
          <t>DURAN</t>
        </is>
      </c>
      <c r="E50" t="n">
        <v>124</v>
      </c>
      <c r="F50" t="n">
        <v>0</v>
      </c>
      <c r="G50" t="n">
        <v>124</v>
      </c>
    </row>
    <row r="51">
      <c r="A51" t="inlineStr">
        <is>
          <t>012</t>
        </is>
      </c>
      <c r="B51" t="inlineStr">
        <is>
          <t>FILTRO DE AIRE</t>
        </is>
      </c>
      <c r="C51" t="inlineStr">
        <is>
          <t>SUZUKI</t>
        </is>
      </c>
      <c r="D51" t="inlineStr">
        <is>
          <t>DURAN</t>
        </is>
      </c>
      <c r="E51" t="n">
        <v>23</v>
      </c>
      <c r="F51" t="n">
        <v>0</v>
      </c>
      <c r="G51" t="n">
        <v>23</v>
      </c>
    </row>
    <row r="52">
      <c r="A52" t="inlineStr">
        <is>
          <t>087</t>
        </is>
      </c>
      <c r="B52" t="inlineStr">
        <is>
          <t>FOCO 2 PUNTOS LED BLANCO</t>
        </is>
      </c>
      <c r="C52" t="inlineStr">
        <is>
          <t>SUZUKI</t>
        </is>
      </c>
      <c r="D52" t="inlineStr"/>
      <c r="E52" t="n">
        <v>80</v>
      </c>
      <c r="F52" t="n">
        <v>10</v>
      </c>
      <c r="G52" t="n">
        <v>70</v>
      </c>
    </row>
    <row r="53">
      <c r="A53" t="inlineStr">
        <is>
          <t>064</t>
        </is>
      </c>
      <c r="B53" t="inlineStr">
        <is>
          <t>FOCO DE BUJIAS</t>
        </is>
      </c>
      <c r="C53" t="inlineStr">
        <is>
          <t>SUZUKI</t>
        </is>
      </c>
      <c r="D53" t="inlineStr">
        <is>
          <t>DURAN</t>
        </is>
      </c>
      <c r="E53" t="n">
        <v>0</v>
      </c>
      <c r="F53" t="n">
        <v>0</v>
      </c>
      <c r="G53" t="n">
        <v>0</v>
      </c>
    </row>
    <row r="54">
      <c r="A54" t="inlineStr">
        <is>
          <t>039</t>
        </is>
      </c>
      <c r="B54" t="inlineStr">
        <is>
          <t>FOCO LEX</t>
        </is>
      </c>
      <c r="C54" t="inlineStr">
        <is>
          <t>SUZUKI</t>
        </is>
      </c>
      <c r="D54" t="inlineStr">
        <is>
          <t>DURAN</t>
        </is>
      </c>
      <c r="E54" t="n">
        <v>0</v>
      </c>
      <c r="F54" t="n">
        <v>0</v>
      </c>
      <c r="G54" t="n">
        <v>0</v>
      </c>
    </row>
    <row r="55">
      <c r="A55" t="inlineStr">
        <is>
          <t>004</t>
        </is>
      </c>
      <c r="B55" t="inlineStr">
        <is>
          <t>FORRO DE MONTURA</t>
        </is>
      </c>
      <c r="C55" t="inlineStr">
        <is>
          <t>SUZUKI</t>
        </is>
      </c>
      <c r="D55" t="inlineStr">
        <is>
          <t>CASA DURAN</t>
        </is>
      </c>
      <c r="E55" t="n">
        <v>0</v>
      </c>
      <c r="F55" t="n">
        <v>0</v>
      </c>
      <c r="G55" t="n">
        <v>0</v>
      </c>
    </row>
    <row r="56">
      <c r="A56" t="inlineStr">
        <is>
          <t>088</t>
        </is>
      </c>
      <c r="B56" t="inlineStr">
        <is>
          <t>GALLETA DE FRENO GN125</t>
        </is>
      </c>
      <c r="C56" t="inlineStr">
        <is>
          <t>SUZUKI</t>
        </is>
      </c>
      <c r="D56" t="inlineStr"/>
      <c r="E56" t="n">
        <v>117</v>
      </c>
      <c r="F56" t="n">
        <v>0</v>
      </c>
      <c r="G56" t="n">
        <v>117</v>
      </c>
    </row>
    <row r="57">
      <c r="A57" t="inlineStr">
        <is>
          <t>090</t>
        </is>
      </c>
      <c r="B57" t="inlineStr">
        <is>
          <t>GUÍA DIRECCIONAL DELANTEROA GN125</t>
        </is>
      </c>
      <c r="C57" t="inlineStr">
        <is>
          <t>SUZUKI</t>
        </is>
      </c>
      <c r="D57" t="inlineStr"/>
      <c r="E57" t="n">
        <v>25</v>
      </c>
      <c r="F57" t="n">
        <v>8</v>
      </c>
      <c r="G57" t="n">
        <v>17</v>
      </c>
    </row>
    <row r="58">
      <c r="A58" t="inlineStr">
        <is>
          <t>089</t>
        </is>
      </c>
      <c r="B58" t="inlineStr">
        <is>
          <t>GUÍA DIRECCIONAL POSTERIOR GN125</t>
        </is>
      </c>
      <c r="C58" t="inlineStr">
        <is>
          <t>SUZUKI</t>
        </is>
      </c>
      <c r="D58" t="inlineStr"/>
      <c r="E58" t="n">
        <v>43</v>
      </c>
      <c r="F58" t="n">
        <v>0</v>
      </c>
      <c r="G58" t="n">
        <v>43</v>
      </c>
    </row>
    <row r="59">
      <c r="A59" t="inlineStr">
        <is>
          <t>0110</t>
        </is>
      </c>
      <c r="B59" t="inlineStr">
        <is>
          <t>INSTALACIÓN ELÉCTRICA</t>
        </is>
      </c>
      <c r="C59" t="inlineStr"/>
      <c r="D59" t="inlineStr"/>
      <c r="E59" t="n">
        <v>15</v>
      </c>
      <c r="F59" t="n">
        <v>0</v>
      </c>
      <c r="G59" t="n">
        <v>15</v>
      </c>
    </row>
    <row r="60">
      <c r="A60" t="inlineStr">
        <is>
          <t>044</t>
        </is>
      </c>
      <c r="B60" t="inlineStr">
        <is>
          <t>JUEGO DE EMPAQUE</t>
        </is>
      </c>
      <c r="C60" t="inlineStr">
        <is>
          <t>SUZUKI</t>
        </is>
      </c>
      <c r="D60" t="inlineStr">
        <is>
          <t>DURAN</t>
        </is>
      </c>
      <c r="E60" t="n">
        <v>23</v>
      </c>
      <c r="F60" t="n">
        <v>6</v>
      </c>
      <c r="G60" t="n">
        <v>17</v>
      </c>
    </row>
    <row r="61">
      <c r="A61" t="inlineStr">
        <is>
          <t>091</t>
        </is>
      </c>
      <c r="B61" t="inlineStr">
        <is>
          <t>KIT DE PISTÓN GN125</t>
        </is>
      </c>
      <c r="C61" t="inlineStr">
        <is>
          <t>SUZUKI</t>
        </is>
      </c>
      <c r="D61" t="inlineStr"/>
      <c r="E61" t="n">
        <v>25</v>
      </c>
      <c r="F61" t="n">
        <v>0</v>
      </c>
      <c r="G61" t="n">
        <v>25</v>
      </c>
    </row>
    <row r="62">
      <c r="A62" t="inlineStr">
        <is>
          <t>001</t>
        </is>
      </c>
      <c r="B62" t="inlineStr">
        <is>
          <t>LLANTAS DELANTERAS</t>
        </is>
      </c>
      <c r="C62" t="inlineStr">
        <is>
          <t>SUZUKI</t>
        </is>
      </c>
      <c r="D62" t="inlineStr">
        <is>
          <t>BODEGA DURAN</t>
        </is>
      </c>
      <c r="E62" t="n">
        <v>11</v>
      </c>
      <c r="F62" t="n">
        <v>0</v>
      </c>
      <c r="G62" t="n">
        <v>11</v>
      </c>
    </row>
    <row r="63">
      <c r="A63" t="inlineStr">
        <is>
          <t>002</t>
        </is>
      </c>
      <c r="B63" t="inlineStr">
        <is>
          <t>LLANTAS TRASERAS</t>
        </is>
      </c>
      <c r="C63" t="inlineStr">
        <is>
          <t>SUZUKI</t>
        </is>
      </c>
      <c r="D63" t="inlineStr">
        <is>
          <t>CASA DURAN</t>
        </is>
      </c>
      <c r="E63" t="n">
        <v>10</v>
      </c>
      <c r="F63" t="n">
        <v>0</v>
      </c>
      <c r="G63" t="n">
        <v>10</v>
      </c>
    </row>
    <row r="64">
      <c r="A64" t="inlineStr">
        <is>
          <t>007</t>
        </is>
      </c>
      <c r="B64" t="inlineStr">
        <is>
          <t>MANDO DE ENCENDIDO</t>
        </is>
      </c>
      <c r="C64" t="inlineStr">
        <is>
          <t>SUZUKI</t>
        </is>
      </c>
      <c r="D64" t="inlineStr">
        <is>
          <t>CASA DURAN</t>
        </is>
      </c>
      <c r="E64" t="n">
        <v>0</v>
      </c>
      <c r="F64" t="n">
        <v>0</v>
      </c>
      <c r="G64" t="n">
        <v>0</v>
      </c>
    </row>
    <row r="65">
      <c r="A65" t="inlineStr">
        <is>
          <t>006</t>
        </is>
      </c>
      <c r="B65" t="inlineStr">
        <is>
          <t>MANDO DE LUCES</t>
        </is>
      </c>
      <c r="C65" t="inlineStr">
        <is>
          <t>SUZUKI</t>
        </is>
      </c>
      <c r="D65" t="inlineStr">
        <is>
          <t>CASA DURAN</t>
        </is>
      </c>
      <c r="E65" t="n">
        <v>0</v>
      </c>
      <c r="F65" t="n">
        <v>0</v>
      </c>
      <c r="G65" t="n">
        <v>0</v>
      </c>
    </row>
    <row r="66">
      <c r="A66" t="inlineStr">
        <is>
          <t>035</t>
        </is>
      </c>
      <c r="B66" t="inlineStr">
        <is>
          <t>MANGUERA DE FRENO DELANTERO</t>
        </is>
      </c>
      <c r="C66" t="inlineStr">
        <is>
          <t>SUZUKI</t>
        </is>
      </c>
      <c r="D66" t="inlineStr">
        <is>
          <t>DURAN</t>
        </is>
      </c>
      <c r="E66" t="n">
        <v>0</v>
      </c>
      <c r="F66" t="n">
        <v>0</v>
      </c>
      <c r="G66" t="n">
        <v>0</v>
      </c>
    </row>
    <row r="67">
      <c r="A67" t="inlineStr">
        <is>
          <t>056</t>
        </is>
      </c>
      <c r="B67" t="inlineStr">
        <is>
          <t>MANIJA DE EMBRAGUE</t>
        </is>
      </c>
      <c r="C67" t="inlineStr">
        <is>
          <t>SUZUKI</t>
        </is>
      </c>
      <c r="D67" t="inlineStr">
        <is>
          <t>DURAN</t>
        </is>
      </c>
      <c r="E67" t="n">
        <v>34</v>
      </c>
      <c r="F67" t="n">
        <v>0</v>
      </c>
      <c r="G67" t="n">
        <v>34</v>
      </c>
    </row>
    <row r="68">
      <c r="A68" t="inlineStr">
        <is>
          <t>092</t>
        </is>
      </c>
      <c r="B68" t="inlineStr">
        <is>
          <t>MANIJA DE EMBRAGUE COMPLETA</t>
        </is>
      </c>
      <c r="C68" t="inlineStr">
        <is>
          <t>SUZUKI</t>
        </is>
      </c>
      <c r="D68" t="inlineStr"/>
      <c r="E68" t="n">
        <v>0</v>
      </c>
      <c r="F68" t="n">
        <v>0</v>
      </c>
      <c r="G68" t="n">
        <v>0</v>
      </c>
    </row>
    <row r="69">
      <c r="A69" t="inlineStr">
        <is>
          <t>093</t>
        </is>
      </c>
      <c r="B69" t="inlineStr">
        <is>
          <t>MAYA PARA MONTURA</t>
        </is>
      </c>
      <c r="C69" t="inlineStr">
        <is>
          <t>SUZUKI</t>
        </is>
      </c>
      <c r="D69" t="inlineStr"/>
      <c r="E69" t="n">
        <v>50</v>
      </c>
      <c r="F69" t="n">
        <v>0</v>
      </c>
      <c r="G69" t="n">
        <v>50</v>
      </c>
    </row>
    <row r="70">
      <c r="A70" t="inlineStr">
        <is>
          <t>016</t>
        </is>
      </c>
      <c r="B70" t="inlineStr">
        <is>
          <t>MONTURAS</t>
        </is>
      </c>
      <c r="C70" t="inlineStr">
        <is>
          <t>SUZUKI</t>
        </is>
      </c>
      <c r="D70" t="inlineStr">
        <is>
          <t>DURAN</t>
        </is>
      </c>
      <c r="E70" t="n">
        <v>9</v>
      </c>
      <c r="F70" t="n">
        <v>0</v>
      </c>
      <c r="G70" t="n">
        <v>9</v>
      </c>
    </row>
    <row r="71">
      <c r="A71" t="inlineStr">
        <is>
          <t>061</t>
        </is>
      </c>
      <c r="B71" t="inlineStr">
        <is>
          <t>MORDAZA</t>
        </is>
      </c>
      <c r="C71" t="inlineStr">
        <is>
          <t>SUZUKI</t>
        </is>
      </c>
      <c r="D71" t="inlineStr">
        <is>
          <t>DURAN</t>
        </is>
      </c>
      <c r="E71" t="n">
        <v>0</v>
      </c>
      <c r="F71" t="n">
        <v>0</v>
      </c>
      <c r="G71" t="n">
        <v>0</v>
      </c>
    </row>
    <row r="72">
      <c r="A72" t="inlineStr">
        <is>
          <t>060</t>
        </is>
      </c>
      <c r="B72" t="inlineStr">
        <is>
          <t>MORDAZA</t>
        </is>
      </c>
      <c r="C72" t="inlineStr">
        <is>
          <t>SUZUKI</t>
        </is>
      </c>
      <c r="D72" t="inlineStr">
        <is>
          <t>DURAN</t>
        </is>
      </c>
      <c r="E72" t="n">
        <v>40</v>
      </c>
      <c r="F72" t="n">
        <v>0</v>
      </c>
      <c r="G72" t="n">
        <v>40</v>
      </c>
    </row>
    <row r="73">
      <c r="A73" t="inlineStr">
        <is>
          <t>094</t>
        </is>
      </c>
      <c r="B73" t="inlineStr">
        <is>
          <t>MORDAZA DE FRENO DELANTERO</t>
        </is>
      </c>
      <c r="C73" t="inlineStr">
        <is>
          <t>SUZUKI</t>
        </is>
      </c>
      <c r="D73" t="inlineStr"/>
      <c r="E73" t="n">
        <v>0</v>
      </c>
      <c r="F73" t="n">
        <v>0</v>
      </c>
      <c r="G73" t="n">
        <v>0</v>
      </c>
    </row>
    <row r="74">
      <c r="A74" t="inlineStr">
        <is>
          <t>043</t>
        </is>
      </c>
      <c r="B74" t="inlineStr">
        <is>
          <t>MOTOR DE ARRANQUE</t>
        </is>
      </c>
      <c r="C74" t="inlineStr">
        <is>
          <t>SUZUKI</t>
        </is>
      </c>
      <c r="D74" t="inlineStr">
        <is>
          <t>DURAN</t>
        </is>
      </c>
      <c r="E74" t="n">
        <v>3</v>
      </c>
      <c r="F74" t="n">
        <v>0</v>
      </c>
      <c r="G74" t="n">
        <v>3</v>
      </c>
    </row>
    <row r="75">
      <c r="A75" t="inlineStr">
        <is>
          <t>024</t>
        </is>
      </c>
      <c r="B75" t="inlineStr">
        <is>
          <t>PASE DE GASOLINA</t>
        </is>
      </c>
      <c r="C75" t="inlineStr">
        <is>
          <t>SUZUKI</t>
        </is>
      </c>
      <c r="D75" t="inlineStr">
        <is>
          <t>DURAN</t>
        </is>
      </c>
      <c r="E75" t="n">
        <v>17</v>
      </c>
      <c r="F75" t="n">
        <v>0</v>
      </c>
      <c r="G75" t="n">
        <v>17</v>
      </c>
    </row>
    <row r="76">
      <c r="A76" t="inlineStr">
        <is>
          <t>066</t>
        </is>
      </c>
      <c r="B76" t="inlineStr">
        <is>
          <t>PASTILLAS</t>
        </is>
      </c>
      <c r="C76" t="inlineStr">
        <is>
          <t>SUZUKI</t>
        </is>
      </c>
      <c r="D76" t="inlineStr">
        <is>
          <t>DURAN</t>
        </is>
      </c>
      <c r="E76" t="n">
        <v>0</v>
      </c>
      <c r="F76" t="n">
        <v>0</v>
      </c>
      <c r="G76" t="n">
        <v>0</v>
      </c>
    </row>
    <row r="77">
      <c r="A77" t="inlineStr">
        <is>
          <t>095</t>
        </is>
      </c>
      <c r="B77" t="inlineStr">
        <is>
          <t>PATA DE APOYO</t>
        </is>
      </c>
      <c r="C77" t="inlineStr">
        <is>
          <t>SUZUKI</t>
        </is>
      </c>
      <c r="D77" t="inlineStr"/>
      <c r="E77" t="n">
        <v>36</v>
      </c>
      <c r="F77" t="n">
        <v>0</v>
      </c>
      <c r="G77" t="n">
        <v>36</v>
      </c>
    </row>
    <row r="78">
      <c r="A78" t="inlineStr">
        <is>
          <t>030</t>
        </is>
      </c>
      <c r="B78" t="inlineStr">
        <is>
          <t>PATA DE CAMBIO</t>
        </is>
      </c>
      <c r="C78" t="inlineStr">
        <is>
          <t>SUZUKI</t>
        </is>
      </c>
      <c r="D78" t="inlineStr">
        <is>
          <t>DURAN</t>
        </is>
      </c>
      <c r="E78" t="n">
        <v>50</v>
      </c>
      <c r="F78" t="n">
        <v>0</v>
      </c>
      <c r="G78" t="n">
        <v>50</v>
      </c>
    </row>
    <row r="79">
      <c r="A79" t="inlineStr">
        <is>
          <t>096</t>
        </is>
      </c>
      <c r="B79" t="inlineStr">
        <is>
          <t>PERNO DE CATALINA</t>
        </is>
      </c>
      <c r="C79" t="inlineStr">
        <is>
          <t>SUZUKI</t>
        </is>
      </c>
      <c r="D79" t="inlineStr"/>
      <c r="E79" t="n">
        <v>93</v>
      </c>
      <c r="F79" t="n">
        <v>3</v>
      </c>
      <c r="G79" t="n">
        <v>90</v>
      </c>
    </row>
    <row r="80">
      <c r="A80" t="inlineStr">
        <is>
          <t>019</t>
        </is>
      </c>
      <c r="B80" t="inlineStr">
        <is>
          <t>PIÑON DE MOTRIZ</t>
        </is>
      </c>
      <c r="C80" t="inlineStr">
        <is>
          <t>SUZUKI</t>
        </is>
      </c>
      <c r="D80" t="inlineStr">
        <is>
          <t>DURAN</t>
        </is>
      </c>
      <c r="E80" t="n">
        <v>151</v>
      </c>
      <c r="F80" t="n">
        <v>3</v>
      </c>
      <c r="G80" t="n">
        <v>148</v>
      </c>
    </row>
    <row r="81">
      <c r="A81" t="inlineStr">
        <is>
          <t>097</t>
        </is>
      </c>
      <c r="B81" t="inlineStr">
        <is>
          <t>PIÑON DE MOTRIZ ACERO PULIDO</t>
        </is>
      </c>
      <c r="C81" t="inlineStr">
        <is>
          <t>SUZUKI</t>
        </is>
      </c>
      <c r="D81" t="inlineStr"/>
      <c r="E81" t="n">
        <v>0</v>
      </c>
      <c r="F81" t="n">
        <v>0</v>
      </c>
      <c r="G81" t="n">
        <v>0</v>
      </c>
    </row>
    <row r="82">
      <c r="A82" t="inlineStr">
        <is>
          <t>098</t>
        </is>
      </c>
      <c r="B82" t="inlineStr">
        <is>
          <t>PIÑON DE VELOCÍMETRO</t>
        </is>
      </c>
      <c r="C82" t="inlineStr">
        <is>
          <t>SUZUKI</t>
        </is>
      </c>
      <c r="D82" t="inlineStr"/>
      <c r="E82" t="n">
        <v>40</v>
      </c>
      <c r="F82" t="n">
        <v>0</v>
      </c>
      <c r="G82" t="n">
        <v>40</v>
      </c>
    </row>
    <row r="83">
      <c r="A83" t="inlineStr">
        <is>
          <t>050</t>
        </is>
      </c>
      <c r="B83" t="inlineStr">
        <is>
          <t>PISTA DE TIMON</t>
        </is>
      </c>
      <c r="C83" t="inlineStr">
        <is>
          <t>SUZUKI</t>
        </is>
      </c>
      <c r="D83" t="inlineStr">
        <is>
          <t>DURAN</t>
        </is>
      </c>
      <c r="E83" t="n">
        <v>0</v>
      </c>
      <c r="F83" t="n">
        <v>0</v>
      </c>
      <c r="G83" t="n">
        <v>0</v>
      </c>
    </row>
    <row r="84">
      <c r="A84" t="inlineStr">
        <is>
          <t>0114</t>
        </is>
      </c>
      <c r="B84" t="inlineStr">
        <is>
          <t>PISTA DE TIMÓN GN125 CON RULIMAN</t>
        </is>
      </c>
      <c r="C84" t="inlineStr"/>
      <c r="D84" t="inlineStr"/>
      <c r="E84" t="n">
        <v>74</v>
      </c>
      <c r="F84" t="n">
        <v>4</v>
      </c>
      <c r="G84" t="n">
        <v>70</v>
      </c>
    </row>
    <row r="85">
      <c r="A85" t="inlineStr">
        <is>
          <t>01101</t>
        </is>
      </c>
      <c r="B85" t="inlineStr">
        <is>
          <t>PITO 12V PEQUEÑO</t>
        </is>
      </c>
      <c r="C85" t="inlineStr"/>
      <c r="D85" t="inlineStr"/>
      <c r="E85" t="n">
        <v>40</v>
      </c>
      <c r="F85" t="n">
        <v>0</v>
      </c>
      <c r="G85" t="n">
        <v>40</v>
      </c>
    </row>
    <row r="86">
      <c r="A86" t="inlineStr">
        <is>
          <t>023</t>
        </is>
      </c>
      <c r="B86" t="inlineStr">
        <is>
          <t>POMA DE LIQUIDO DE FRENO</t>
        </is>
      </c>
      <c r="C86" t="inlineStr">
        <is>
          <t>SUZUKI</t>
        </is>
      </c>
      <c r="D86" t="inlineStr">
        <is>
          <t>DURAN</t>
        </is>
      </c>
      <c r="E86" t="n">
        <v>0</v>
      </c>
      <c r="F86" t="n">
        <v>0</v>
      </c>
      <c r="G86" t="n">
        <v>0</v>
      </c>
    </row>
    <row r="87">
      <c r="A87" t="inlineStr">
        <is>
          <t>099</t>
        </is>
      </c>
      <c r="B87" t="inlineStr">
        <is>
          <t>PORTA CATALINA</t>
        </is>
      </c>
      <c r="C87" t="inlineStr"/>
      <c r="D87" t="inlineStr"/>
      <c r="E87" t="n">
        <v>40</v>
      </c>
      <c r="F87" t="n">
        <v>0</v>
      </c>
      <c r="G87" t="n">
        <v>40</v>
      </c>
    </row>
    <row r="88">
      <c r="A88" t="inlineStr">
        <is>
          <t>029</t>
        </is>
      </c>
      <c r="B88" t="inlineStr">
        <is>
          <t>PORTA ZAPATA</t>
        </is>
      </c>
      <c r="C88" t="inlineStr">
        <is>
          <t>SUZUKI</t>
        </is>
      </c>
      <c r="D88" t="inlineStr">
        <is>
          <t>DURAN</t>
        </is>
      </c>
      <c r="E88" t="n">
        <v>0</v>
      </c>
      <c r="F88" t="n">
        <v>0</v>
      </c>
      <c r="G88" t="n">
        <v>0</v>
      </c>
    </row>
    <row r="89">
      <c r="A89" t="inlineStr">
        <is>
          <t>0100</t>
        </is>
      </c>
      <c r="B89" t="inlineStr">
        <is>
          <t>PORTA ZAPATA</t>
        </is>
      </c>
      <c r="C89" t="inlineStr"/>
      <c r="D89" t="inlineStr"/>
      <c r="E89" t="n">
        <v>15</v>
      </c>
      <c r="F89" t="n">
        <v>0</v>
      </c>
      <c r="G89" t="n">
        <v>15</v>
      </c>
    </row>
    <row r="90">
      <c r="A90" t="inlineStr">
        <is>
          <t>049</t>
        </is>
      </c>
      <c r="B90" t="inlineStr">
        <is>
          <t>POSA PIE DELANTERO</t>
        </is>
      </c>
      <c r="C90" t="inlineStr">
        <is>
          <t>SUZUKI</t>
        </is>
      </c>
      <c r="D90" t="inlineStr">
        <is>
          <t>DURAN</t>
        </is>
      </c>
      <c r="E90" t="n">
        <v>0</v>
      </c>
      <c r="F90" t="n">
        <v>0</v>
      </c>
      <c r="G90" t="n">
        <v>0</v>
      </c>
    </row>
    <row r="91">
      <c r="A91" t="inlineStr">
        <is>
          <t>028</t>
        </is>
      </c>
      <c r="B91" t="inlineStr">
        <is>
          <t>POSA PIE TRASERO (PARES)</t>
        </is>
      </c>
      <c r="C91" t="inlineStr">
        <is>
          <t>SUZUKI</t>
        </is>
      </c>
      <c r="D91" t="inlineStr">
        <is>
          <t>DURAN</t>
        </is>
      </c>
      <c r="E91" t="n">
        <v>0</v>
      </c>
      <c r="F91" t="n">
        <v>0</v>
      </c>
      <c r="G91" t="n">
        <v>0</v>
      </c>
    </row>
    <row r="92">
      <c r="A92" t="inlineStr">
        <is>
          <t>9MQ8606S50393</t>
        </is>
      </c>
      <c r="B92" t="inlineStr">
        <is>
          <t>producto de prueba borra</t>
        </is>
      </c>
      <c r="C92" t="inlineStr"/>
      <c r="D92" t="inlineStr"/>
      <c r="E92" t="n">
        <v>1</v>
      </c>
      <c r="F92" t="n">
        <v>0</v>
      </c>
      <c r="G92" t="n">
        <v>1</v>
      </c>
    </row>
    <row r="93">
      <c r="A93" t="inlineStr">
        <is>
          <t>7862110202551</t>
        </is>
      </c>
      <c r="B93" t="inlineStr">
        <is>
          <t>producto de prueba crema</t>
        </is>
      </c>
      <c r="C93" t="inlineStr"/>
      <c r="D93" t="inlineStr"/>
      <c r="E93" t="n">
        <v>5</v>
      </c>
      <c r="F93" t="n">
        <v>0</v>
      </c>
      <c r="G93" t="n">
        <v>5</v>
      </c>
    </row>
    <row r="94">
      <c r="A94" t="inlineStr">
        <is>
          <t>033</t>
        </is>
      </c>
      <c r="B94" t="inlineStr">
        <is>
          <t>RECTIFICADOR</t>
        </is>
      </c>
      <c r="C94" t="inlineStr">
        <is>
          <t>SUZUKI</t>
        </is>
      </c>
      <c r="D94" t="inlineStr">
        <is>
          <t>DURAN</t>
        </is>
      </c>
      <c r="E94" t="n">
        <v>0</v>
      </c>
      <c r="F94" t="n">
        <v>0</v>
      </c>
      <c r="G94" t="n">
        <v>0</v>
      </c>
    </row>
    <row r="95">
      <c r="A95" t="inlineStr">
        <is>
          <t>051</t>
        </is>
      </c>
      <c r="B95" t="inlineStr">
        <is>
          <t>RECTIFICADOR</t>
        </is>
      </c>
      <c r="C95" t="inlineStr">
        <is>
          <t>SUZUKI</t>
        </is>
      </c>
      <c r="D95" t="inlineStr">
        <is>
          <t>DURAN</t>
        </is>
      </c>
      <c r="E95" t="n">
        <v>0</v>
      </c>
      <c r="F95" t="n">
        <v>0</v>
      </c>
      <c r="G95" t="n">
        <v>0</v>
      </c>
    </row>
    <row r="96">
      <c r="A96" t="inlineStr">
        <is>
          <t>063</t>
        </is>
      </c>
      <c r="B96" t="inlineStr">
        <is>
          <t>RELAY</t>
        </is>
      </c>
      <c r="C96" t="inlineStr">
        <is>
          <t>SUZUKI</t>
        </is>
      </c>
      <c r="D96" t="inlineStr">
        <is>
          <t>DURAN</t>
        </is>
      </c>
      <c r="E96" t="n">
        <v>0</v>
      </c>
      <c r="F96" t="n">
        <v>0</v>
      </c>
      <c r="G96" t="n">
        <v>0</v>
      </c>
    </row>
    <row r="97">
      <c r="A97" t="inlineStr">
        <is>
          <t>054</t>
        </is>
      </c>
      <c r="B97" t="inlineStr">
        <is>
          <t>RULIMAN 6203</t>
        </is>
      </c>
      <c r="C97" t="inlineStr">
        <is>
          <t>SUZUKI</t>
        </is>
      </c>
      <c r="D97" t="inlineStr">
        <is>
          <t>DURAN</t>
        </is>
      </c>
      <c r="E97" t="n">
        <v>0</v>
      </c>
      <c r="F97" t="n">
        <v>0</v>
      </c>
      <c r="G97" t="n">
        <v>0</v>
      </c>
    </row>
    <row r="98">
      <c r="A98" t="inlineStr">
        <is>
          <t>052</t>
        </is>
      </c>
      <c r="B98" t="inlineStr">
        <is>
          <t>RULIMAN 6204</t>
        </is>
      </c>
      <c r="C98" t="inlineStr">
        <is>
          <t>SUZUKI</t>
        </is>
      </c>
      <c r="D98" t="inlineStr">
        <is>
          <t>DURAN</t>
        </is>
      </c>
      <c r="E98" t="n">
        <v>0</v>
      </c>
      <c r="F98" t="n">
        <v>0</v>
      </c>
      <c r="G98" t="n">
        <v>0</v>
      </c>
    </row>
    <row r="99">
      <c r="A99" t="inlineStr">
        <is>
          <t>0102</t>
        </is>
      </c>
      <c r="B99" t="inlineStr">
        <is>
          <t>RULIMAN 6204</t>
        </is>
      </c>
      <c r="C99" t="inlineStr"/>
      <c r="D99" t="inlineStr"/>
      <c r="E99" t="n">
        <v>50</v>
      </c>
      <c r="F99" t="n">
        <v>6</v>
      </c>
      <c r="G99" t="n">
        <v>44</v>
      </c>
    </row>
    <row r="100">
      <c r="A100" t="inlineStr">
        <is>
          <t>055</t>
        </is>
      </c>
      <c r="B100" t="inlineStr">
        <is>
          <t>RULIMAN 6301</t>
        </is>
      </c>
      <c r="C100" t="inlineStr">
        <is>
          <t>SUZUKI</t>
        </is>
      </c>
      <c r="D100" t="inlineStr">
        <is>
          <t>DURAN</t>
        </is>
      </c>
      <c r="E100" t="n">
        <v>0</v>
      </c>
      <c r="F100" t="n">
        <v>0</v>
      </c>
      <c r="G100" t="n">
        <v>0</v>
      </c>
    </row>
    <row r="101">
      <c r="A101" t="inlineStr">
        <is>
          <t>0103</t>
        </is>
      </c>
      <c r="B101" t="inlineStr">
        <is>
          <t>RULIMAN 6301</t>
        </is>
      </c>
      <c r="C101" t="inlineStr"/>
      <c r="D101" t="inlineStr"/>
      <c r="E101" t="n">
        <v>100</v>
      </c>
      <c r="F101" t="n">
        <v>0</v>
      </c>
      <c r="G101" t="n">
        <v>100</v>
      </c>
    </row>
    <row r="102">
      <c r="A102" t="inlineStr">
        <is>
          <t>053</t>
        </is>
      </c>
      <c r="B102" t="inlineStr">
        <is>
          <t>RULIMAN 6302</t>
        </is>
      </c>
      <c r="C102" t="inlineStr">
        <is>
          <t>SUZUKI</t>
        </is>
      </c>
      <c r="D102" t="inlineStr">
        <is>
          <t>DURAN</t>
        </is>
      </c>
      <c r="E102" t="n">
        <v>72</v>
      </c>
      <c r="F102" t="n">
        <v>0</v>
      </c>
      <c r="G102" t="n">
        <v>72</v>
      </c>
    </row>
    <row r="103">
      <c r="A103" t="inlineStr">
        <is>
          <t>0104</t>
        </is>
      </c>
      <c r="B103" t="inlineStr">
        <is>
          <t>RULIMAN 6302</t>
        </is>
      </c>
      <c r="C103" t="inlineStr"/>
      <c r="D103" t="inlineStr"/>
      <c r="E103" t="n">
        <v>0</v>
      </c>
      <c r="F103" t="n">
        <v>0</v>
      </c>
      <c r="G103" t="n">
        <v>0</v>
      </c>
    </row>
    <row r="104">
      <c r="A104" t="inlineStr">
        <is>
          <t>0106</t>
        </is>
      </c>
      <c r="B104" t="inlineStr">
        <is>
          <t>SELECTOR DE CAMBIOS</t>
        </is>
      </c>
      <c r="C104" t="inlineStr"/>
      <c r="D104" t="inlineStr"/>
      <c r="E104" t="n">
        <v>35</v>
      </c>
      <c r="F104" t="n">
        <v>0</v>
      </c>
      <c r="G104" t="n">
        <v>35</v>
      </c>
    </row>
    <row r="105">
      <c r="A105" t="inlineStr">
        <is>
          <t>0107</t>
        </is>
      </c>
      <c r="B105" t="inlineStr">
        <is>
          <t>SET DE SWITCH SUZUKI</t>
        </is>
      </c>
      <c r="C105" t="inlineStr"/>
      <c r="D105" t="inlineStr"/>
      <c r="E105" t="n">
        <v>20</v>
      </c>
      <c r="F105" t="n">
        <v>0</v>
      </c>
      <c r="G105" t="n">
        <v>20</v>
      </c>
    </row>
    <row r="106">
      <c r="A106" t="inlineStr">
        <is>
          <t>014</t>
        </is>
      </c>
      <c r="B106" t="inlineStr">
        <is>
          <t>SIMBRAS</t>
        </is>
      </c>
      <c r="C106" t="inlineStr">
        <is>
          <t>SUZUKI</t>
        </is>
      </c>
      <c r="D106" t="inlineStr">
        <is>
          <t>DURAN</t>
        </is>
      </c>
      <c r="E106" t="n">
        <v>0</v>
      </c>
      <c r="F106" t="n">
        <v>0</v>
      </c>
      <c r="G106" t="n">
        <v>0</v>
      </c>
    </row>
    <row r="107">
      <c r="A107" t="inlineStr">
        <is>
          <t>0105</t>
        </is>
      </c>
      <c r="B107" t="inlineStr">
        <is>
          <t>STOP</t>
        </is>
      </c>
      <c r="C107" t="inlineStr"/>
      <c r="D107" t="inlineStr"/>
      <c r="E107" t="n">
        <v>0</v>
      </c>
      <c r="F107" t="n">
        <v>0</v>
      </c>
      <c r="G107" t="n">
        <v>0</v>
      </c>
    </row>
    <row r="108">
      <c r="A108" t="inlineStr">
        <is>
          <t>059</t>
        </is>
      </c>
      <c r="B108" t="inlineStr">
        <is>
          <t>STOP</t>
        </is>
      </c>
      <c r="C108" t="inlineStr">
        <is>
          <t>SUZUKI</t>
        </is>
      </c>
      <c r="D108" t="inlineStr">
        <is>
          <t>DURAN</t>
        </is>
      </c>
      <c r="E108" t="n">
        <v>31</v>
      </c>
      <c r="F108" t="n">
        <v>2</v>
      </c>
      <c r="G108" t="n">
        <v>29</v>
      </c>
    </row>
    <row r="109">
      <c r="A109" t="inlineStr">
        <is>
          <t>040</t>
        </is>
      </c>
      <c r="B109" t="inlineStr">
        <is>
          <t>SUICHES</t>
        </is>
      </c>
      <c r="C109" t="inlineStr">
        <is>
          <t>SUZUKI</t>
        </is>
      </c>
      <c r="D109" t="inlineStr">
        <is>
          <t>DURAN</t>
        </is>
      </c>
      <c r="E109" t="n">
        <v>0</v>
      </c>
      <c r="F109" t="n">
        <v>0</v>
      </c>
      <c r="G109" t="n">
        <v>0</v>
      </c>
    </row>
    <row r="110">
      <c r="A110" t="inlineStr">
        <is>
          <t>047</t>
        </is>
      </c>
      <c r="B110" t="inlineStr">
        <is>
          <t>TABLERO</t>
        </is>
      </c>
      <c r="C110" t="inlineStr">
        <is>
          <t>SUZUKI</t>
        </is>
      </c>
      <c r="D110" t="inlineStr">
        <is>
          <t>DURAN</t>
        </is>
      </c>
      <c r="E110" t="n">
        <v>6</v>
      </c>
      <c r="F110" t="n">
        <v>0</v>
      </c>
      <c r="G110" t="n">
        <v>6</v>
      </c>
    </row>
    <row r="111">
      <c r="A111" t="inlineStr">
        <is>
          <t>005</t>
        </is>
      </c>
      <c r="B111" t="inlineStr">
        <is>
          <t>TANQUE DE GASOLINA</t>
        </is>
      </c>
      <c r="C111" t="inlineStr">
        <is>
          <t>SUZUKI</t>
        </is>
      </c>
      <c r="D111" t="inlineStr">
        <is>
          <t>BODEGA DURAN</t>
        </is>
      </c>
      <c r="E111" t="n">
        <v>2</v>
      </c>
      <c r="F111" t="n">
        <v>0</v>
      </c>
      <c r="G111" t="n">
        <v>2</v>
      </c>
    </row>
    <row r="112">
      <c r="A112" t="inlineStr">
        <is>
          <t>0108</t>
        </is>
      </c>
      <c r="B112" t="inlineStr">
        <is>
          <t>TAPA CAMBIO DE ACEITE TRIANGULO</t>
        </is>
      </c>
      <c r="C112" t="inlineStr">
        <is>
          <t>SUZUKI</t>
        </is>
      </c>
      <c r="D112" t="inlineStr"/>
      <c r="E112" t="n">
        <v>0</v>
      </c>
      <c r="F112" t="n">
        <v>0</v>
      </c>
      <c r="G112" t="n">
        <v>0</v>
      </c>
    </row>
    <row r="113">
      <c r="A113" t="inlineStr">
        <is>
          <t>0115</t>
        </is>
      </c>
      <c r="B113" t="inlineStr">
        <is>
          <t>TAPA LATERAL GN NOVA NEGRO</t>
        </is>
      </c>
      <c r="C113" t="inlineStr">
        <is>
          <t>SUZUKI</t>
        </is>
      </c>
      <c r="D113" t="inlineStr"/>
      <c r="E113" t="n">
        <v>40</v>
      </c>
      <c r="F113" t="n">
        <v>5</v>
      </c>
      <c r="G113" t="n">
        <v>35</v>
      </c>
    </row>
    <row r="114">
      <c r="A114" t="inlineStr">
        <is>
          <t>018</t>
        </is>
      </c>
      <c r="B114" t="inlineStr">
        <is>
          <t>TARRO DE GOMA</t>
        </is>
      </c>
      <c r="C114" t="inlineStr">
        <is>
          <t>SUZUKI</t>
        </is>
      </c>
      <c r="D114" t="inlineStr">
        <is>
          <t>DURAN</t>
        </is>
      </c>
      <c r="E114" t="n">
        <v>331</v>
      </c>
      <c r="F114" t="n">
        <v>2</v>
      </c>
      <c r="G114" t="n">
        <v>329</v>
      </c>
    </row>
    <row r="115">
      <c r="A115" t="inlineStr">
        <is>
          <t>013</t>
        </is>
      </c>
      <c r="B115" t="inlineStr">
        <is>
          <t>TARRO DE GRASA</t>
        </is>
      </c>
      <c r="C115" t="inlineStr">
        <is>
          <t>SUZUKI</t>
        </is>
      </c>
      <c r="D115" t="inlineStr">
        <is>
          <t>DURAN</t>
        </is>
      </c>
      <c r="E115" t="n">
        <v>50</v>
      </c>
      <c r="F115" t="n">
        <v>1</v>
      </c>
      <c r="G115" t="n">
        <v>49</v>
      </c>
    </row>
    <row r="116">
      <c r="A116" t="inlineStr">
        <is>
          <t>0109</t>
        </is>
      </c>
      <c r="B116" t="inlineStr">
        <is>
          <t>TEMPLADOR DE CADENA</t>
        </is>
      </c>
      <c r="C116" t="inlineStr"/>
      <c r="D116" t="inlineStr"/>
      <c r="E116" t="n">
        <v>93</v>
      </c>
      <c r="F116" t="n">
        <v>0</v>
      </c>
      <c r="G116" t="n">
        <v>93</v>
      </c>
    </row>
    <row r="117">
      <c r="A117" t="inlineStr">
        <is>
          <t>015</t>
        </is>
      </c>
      <c r="B117" t="inlineStr">
        <is>
          <t>TENSOR DE CADENILLA</t>
        </is>
      </c>
      <c r="C117" t="inlineStr">
        <is>
          <t>SUZUKI</t>
        </is>
      </c>
      <c r="D117" t="inlineStr">
        <is>
          <t>DURAN</t>
        </is>
      </c>
      <c r="E117" t="n">
        <v>53</v>
      </c>
      <c r="F117" t="n">
        <v>3</v>
      </c>
      <c r="G117" t="n">
        <v>50</v>
      </c>
    </row>
    <row r="118">
      <c r="A118" t="inlineStr">
        <is>
          <t>008</t>
        </is>
      </c>
      <c r="B118" t="inlineStr">
        <is>
          <t>TIMON</t>
        </is>
      </c>
      <c r="C118" t="inlineStr">
        <is>
          <t>SUZUKI</t>
        </is>
      </c>
      <c r="D118" t="inlineStr">
        <is>
          <t>CASA DURAN</t>
        </is>
      </c>
      <c r="E118" t="n">
        <v>8</v>
      </c>
      <c r="F118" t="n">
        <v>0</v>
      </c>
      <c r="G118" t="n">
        <v>8</v>
      </c>
    </row>
    <row r="119">
      <c r="A119" t="inlineStr">
        <is>
          <t>010</t>
        </is>
      </c>
      <c r="B119" t="inlineStr">
        <is>
          <t>TUBOS DELANTEROS</t>
        </is>
      </c>
      <c r="C119" t="inlineStr">
        <is>
          <t>SUZUKI</t>
        </is>
      </c>
      <c r="D119" t="inlineStr">
        <is>
          <t>CASA DURAN</t>
        </is>
      </c>
      <c r="E119" t="n">
        <v>145</v>
      </c>
      <c r="F119" t="n">
        <v>0</v>
      </c>
      <c r="G119" t="n">
        <v>145</v>
      </c>
    </row>
    <row r="120">
      <c r="A120" t="inlineStr">
        <is>
          <t>011</t>
        </is>
      </c>
      <c r="B120" t="inlineStr">
        <is>
          <t>TUBOS TRASEROS</t>
        </is>
      </c>
      <c r="C120" t="inlineStr">
        <is>
          <t>SUZUKI</t>
        </is>
      </c>
      <c r="D120" t="inlineStr">
        <is>
          <t>DURAN</t>
        </is>
      </c>
      <c r="E120" t="n">
        <v>150</v>
      </c>
      <c r="F120" t="n">
        <v>0</v>
      </c>
      <c r="G120" t="n">
        <v>150</v>
      </c>
    </row>
    <row r="121">
      <c r="A121" t="inlineStr">
        <is>
          <t>0111</t>
        </is>
      </c>
      <c r="B121" t="inlineStr">
        <is>
          <t>VÁLVULAS GN</t>
        </is>
      </c>
      <c r="C121" t="inlineStr"/>
      <c r="D121" t="inlineStr"/>
      <c r="E121" t="n">
        <v>40</v>
      </c>
      <c r="F121" t="n">
        <v>5</v>
      </c>
      <c r="G121" t="n">
        <v>35</v>
      </c>
    </row>
    <row r="122">
      <c r="A122" t="inlineStr">
        <is>
          <t>0112</t>
        </is>
      </c>
      <c r="B122" t="inlineStr">
        <is>
          <t>ZAPATA GN</t>
        </is>
      </c>
      <c r="C122" t="inlineStr"/>
      <c r="D122" t="inlineStr"/>
      <c r="E122" t="n">
        <v>80</v>
      </c>
      <c r="F122" t="n">
        <v>3</v>
      </c>
      <c r="G122" t="n">
        <v>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2" customWidth="1" min="8" max="8"/>
  </cols>
  <sheetData>
    <row r="1" ht="34" customHeight="1">
      <c r="A1" s="3" t="inlineStr">
        <is>
          <t>Código nuevo</t>
        </is>
      </c>
      <c r="B1" s="3" t="inlineStr">
        <is>
          <t>Producto</t>
        </is>
      </c>
      <c r="C1" s="3" t="inlineStr">
        <is>
          <t>Categoría</t>
        </is>
      </c>
      <c r="D1" s="3" t="inlineStr">
        <is>
          <t>Ubicación</t>
        </is>
      </c>
      <c r="E1" s="3" t="inlineStr">
        <is>
          <t>Entradas totales</t>
        </is>
      </c>
      <c r="F1" s="3" t="inlineStr">
        <is>
          <t>Salidas totales</t>
        </is>
      </c>
      <c r="G1" s="3" t="inlineStr">
        <is>
          <t>Stock actual</t>
        </is>
      </c>
      <c r="H1" s="3" t="inlineStr">
        <is>
          <t>Para elegir (producto — código)</t>
        </is>
      </c>
    </row>
    <row r="2">
      <c r="A2" t="inlineStr">
        <is>
          <t>INTMUR8220Q8C</t>
        </is>
      </c>
      <c r="B2" t="inlineStr">
        <is>
          <t>AMORTIGUADORES</t>
        </is>
      </c>
      <c r="C2" t="inlineStr"/>
      <c r="D2" t="inlineStr"/>
      <c r="E2" t="n">
        <v>14</v>
      </c>
      <c r="F2" t="n">
        <v>2</v>
      </c>
      <c r="G2" t="n">
        <v>12</v>
      </c>
      <c r="H2" t="inlineStr">
        <is>
          <t>AMORTIGUADORES — INTMUR8220Q8C</t>
        </is>
      </c>
    </row>
    <row r="3">
      <c r="A3" t="inlineStr">
        <is>
          <t>INTMUR8DE0Z74</t>
        </is>
      </c>
      <c r="B3" t="inlineStr">
        <is>
          <t>ANILLO</t>
        </is>
      </c>
      <c r="C3" t="inlineStr"/>
      <c r="D3" t="inlineStr"/>
      <c r="E3" t="n">
        <v>115</v>
      </c>
      <c r="F3" t="n">
        <v>14</v>
      </c>
      <c r="G3" t="n">
        <v>101</v>
      </c>
      <c r="H3" t="inlineStr">
        <is>
          <t>ANILLO — INTMUR8DE0Z74</t>
        </is>
      </c>
    </row>
    <row r="4">
      <c r="A4" t="inlineStr">
        <is>
          <t>INTMV1KMVXFR5</t>
        </is>
      </c>
      <c r="B4" t="inlineStr">
        <is>
          <t>ARANDELAS</t>
        </is>
      </c>
      <c r="C4" t="inlineStr"/>
      <c r="D4" t="inlineStr"/>
      <c r="E4" t="n">
        <v>8</v>
      </c>
      <c r="F4" t="n">
        <v>0</v>
      </c>
      <c r="G4" t="n">
        <v>8</v>
      </c>
      <c r="H4" t="inlineStr">
        <is>
          <t>ARANDELAS — INTMV1KMVXFR5</t>
        </is>
      </c>
    </row>
    <row r="5">
      <c r="A5" t="inlineStr">
        <is>
          <t>INTMV1KKDKP5W</t>
        </is>
      </c>
      <c r="B5" t="inlineStr">
        <is>
          <t>ARBOL DE LEVA</t>
        </is>
      </c>
      <c r="C5" t="inlineStr"/>
      <c r="D5" t="inlineStr"/>
      <c r="E5" t="n">
        <v>3</v>
      </c>
      <c r="F5" t="n">
        <v>0</v>
      </c>
      <c r="G5" t="n">
        <v>3</v>
      </c>
      <c r="H5" t="inlineStr">
        <is>
          <t>ARBOL DE LEVA — INTMV1KKDKP5W</t>
        </is>
      </c>
    </row>
    <row r="6">
      <c r="A6" t="inlineStr">
        <is>
          <t>INTMUR86PL0CA</t>
        </is>
      </c>
      <c r="B6" t="inlineStr">
        <is>
          <t>ASIENTO</t>
        </is>
      </c>
      <c r="C6" t="inlineStr"/>
      <c r="D6" t="inlineStr"/>
      <c r="E6" t="n">
        <v>9</v>
      </c>
      <c r="F6" t="n">
        <v>0</v>
      </c>
      <c r="G6" t="n">
        <v>9</v>
      </c>
      <c r="H6" t="inlineStr">
        <is>
          <t>ASIENTO — INTMUR86PL0CA</t>
        </is>
      </c>
    </row>
    <row r="7">
      <c r="A7" t="inlineStr">
        <is>
          <t>INTMUR7506ZJG</t>
        </is>
      </c>
      <c r="B7" t="inlineStr">
        <is>
          <t>AUTOMÁTICO</t>
        </is>
      </c>
      <c r="C7" t="inlineStr"/>
      <c r="D7" t="inlineStr"/>
      <c r="E7" t="n">
        <v>33</v>
      </c>
      <c r="F7" t="n">
        <v>5</v>
      </c>
      <c r="G7" t="n">
        <v>28</v>
      </c>
      <c r="H7" t="inlineStr">
        <is>
          <t>AUTOMÁTICO — INTMUR7506ZJG</t>
        </is>
      </c>
    </row>
    <row r="8">
      <c r="A8" t="inlineStr">
        <is>
          <t>INTMUR838GUDV</t>
        </is>
      </c>
      <c r="B8" t="inlineStr">
        <is>
          <t>BARA TELESCÓPICA</t>
        </is>
      </c>
      <c r="C8" t="inlineStr"/>
      <c r="D8" t="inlineStr"/>
      <c r="E8" t="n">
        <v>15</v>
      </c>
      <c r="F8" t="n">
        <v>0</v>
      </c>
      <c r="G8" t="n">
        <v>15</v>
      </c>
      <c r="H8" t="inlineStr">
        <is>
          <t>BARA TELESCÓPICA — INTMUR838GUDV</t>
        </is>
      </c>
    </row>
    <row r="9">
      <c r="A9" t="inlineStr">
        <is>
          <t>INTMUR7METY7D</t>
        </is>
      </c>
      <c r="B9" t="inlineStr">
        <is>
          <t>BATERIA</t>
        </is>
      </c>
      <c r="C9" t="inlineStr"/>
      <c r="D9" t="inlineStr"/>
      <c r="E9" t="n">
        <v>18</v>
      </c>
      <c r="F9" t="n">
        <v>0</v>
      </c>
      <c r="G9" t="n">
        <v>18</v>
      </c>
      <c r="H9" t="inlineStr">
        <is>
          <t>BATERIA — INTMUR7METY7D</t>
        </is>
      </c>
    </row>
    <row r="10">
      <c r="A10" t="inlineStr">
        <is>
          <t>INTMUR6CGIKOQ</t>
        </is>
      </c>
      <c r="B10" t="inlineStr">
        <is>
          <t>BENDIX</t>
        </is>
      </c>
      <c r="C10" t="inlineStr"/>
      <c r="D10" t="inlineStr"/>
      <c r="E10" t="n">
        <v>32</v>
      </c>
      <c r="F10" t="n">
        <v>0</v>
      </c>
      <c r="G10" t="n">
        <v>32</v>
      </c>
      <c r="H10" t="inlineStr">
        <is>
          <t>BENDIX — INTMUR6CGIKOQ</t>
        </is>
      </c>
    </row>
    <row r="11">
      <c r="A11" t="inlineStr">
        <is>
          <t>INTMUR6ET2S6X</t>
        </is>
      </c>
      <c r="B11" t="inlineStr">
        <is>
          <t>BOBINA BUJIA</t>
        </is>
      </c>
      <c r="C11" t="inlineStr"/>
      <c r="D11" t="inlineStr"/>
      <c r="E11" t="n">
        <v>34</v>
      </c>
      <c r="F11" t="n">
        <v>2</v>
      </c>
      <c r="G11" t="n">
        <v>32</v>
      </c>
      <c r="H11" t="inlineStr">
        <is>
          <t>BOBINA BUJIA — INTMUR6ET2S6X</t>
        </is>
      </c>
    </row>
    <row r="12">
      <c r="A12" t="inlineStr">
        <is>
          <t>INTMV1KKSWT28</t>
        </is>
      </c>
      <c r="B12" t="inlineStr">
        <is>
          <t>BOBINA COR</t>
        </is>
      </c>
      <c r="C12" t="inlineStr"/>
      <c r="D12" t="inlineStr"/>
      <c r="E12" t="n">
        <v>4</v>
      </c>
      <c r="F12" t="n">
        <v>0</v>
      </c>
      <c r="G12" t="n">
        <v>4</v>
      </c>
      <c r="H12" t="inlineStr">
        <is>
          <t>BOBINA COR — INTMV1KKSWT28</t>
        </is>
      </c>
    </row>
    <row r="13">
      <c r="A13" t="inlineStr">
        <is>
          <t>INTMUR75GL041</t>
        </is>
      </c>
      <c r="B13" t="inlineStr">
        <is>
          <t>BOBINA DE CAMPO</t>
        </is>
      </c>
      <c r="C13" t="inlineStr"/>
      <c r="D13" t="inlineStr"/>
      <c r="E13" t="n">
        <v>3</v>
      </c>
      <c r="F13" t="n">
        <v>2</v>
      </c>
      <c r="G13" t="n">
        <v>1</v>
      </c>
      <c r="H13" t="inlineStr">
        <is>
          <t>BOBINA DE CAMPO — INTMUR75GL041</t>
        </is>
      </c>
    </row>
    <row r="14">
      <c r="A14" t="inlineStr">
        <is>
          <t>INTMUREX66H65</t>
        </is>
      </c>
      <c r="B14" t="inlineStr">
        <is>
          <t>BUJES DE ORQUIDEA</t>
        </is>
      </c>
      <c r="C14" t="inlineStr"/>
      <c r="D14" t="inlineStr"/>
      <c r="E14" t="n">
        <v>81</v>
      </c>
      <c r="F14" t="n">
        <v>6</v>
      </c>
      <c r="G14" t="n">
        <v>75</v>
      </c>
      <c r="H14" t="inlineStr">
        <is>
          <t>BUJES DE ORQUIDEA — INTMUREX66H65</t>
        </is>
      </c>
    </row>
    <row r="15">
      <c r="A15" t="inlineStr">
        <is>
          <t>INTMUR7P7ZXKT</t>
        </is>
      </c>
      <c r="B15" t="inlineStr">
        <is>
          <t>BUJIA</t>
        </is>
      </c>
      <c r="C15" t="inlineStr"/>
      <c r="D15" t="inlineStr"/>
      <c r="E15" t="n">
        <v>104</v>
      </c>
      <c r="F15" t="n">
        <v>20</v>
      </c>
      <c r="G15" t="n">
        <v>84</v>
      </c>
      <c r="H15" t="inlineStr">
        <is>
          <t>BUJIA — INTMUR7P7ZXKT</t>
        </is>
      </c>
    </row>
    <row r="16">
      <c r="A16" t="inlineStr">
        <is>
          <t>INTMUR7HUQMM5</t>
        </is>
      </c>
      <c r="B16" t="inlineStr">
        <is>
          <t>CABEZOTE</t>
        </is>
      </c>
      <c r="C16" t="inlineStr"/>
      <c r="D16" t="inlineStr"/>
      <c r="E16" t="n">
        <v>13</v>
      </c>
      <c r="F16" t="n">
        <v>0</v>
      </c>
      <c r="G16" t="n">
        <v>13</v>
      </c>
      <c r="H16" t="inlineStr">
        <is>
          <t>CABEZOTE — INTMUR7HUQMM5</t>
        </is>
      </c>
    </row>
    <row r="17">
      <c r="A17" t="inlineStr">
        <is>
          <t>INTMV1KJQIMPK</t>
        </is>
      </c>
      <c r="B17" t="inlineStr">
        <is>
          <t>CABLE DE ACELERACION</t>
        </is>
      </c>
      <c r="C17" t="inlineStr"/>
      <c r="D17" t="inlineStr"/>
      <c r="E17" t="n">
        <v>3</v>
      </c>
      <c r="F17" t="n">
        <v>0</v>
      </c>
      <c r="G17" t="n">
        <v>3</v>
      </c>
      <c r="H17" t="inlineStr">
        <is>
          <t>CABLE DE ACELERACION — INTMV1KJQIMPK</t>
        </is>
      </c>
    </row>
    <row r="18">
      <c r="A18" t="inlineStr">
        <is>
          <t>INTMUR83JIS0S</t>
        </is>
      </c>
      <c r="B18" t="inlineStr">
        <is>
          <t>CABLE DE EMBRAGUE</t>
        </is>
      </c>
      <c r="C18" t="inlineStr"/>
      <c r="D18" t="inlineStr"/>
      <c r="E18" t="n">
        <v>89</v>
      </c>
      <c r="F18" t="n">
        <v>10</v>
      </c>
      <c r="G18" t="n">
        <v>79</v>
      </c>
      <c r="H18" t="inlineStr">
        <is>
          <t>CABLE DE EMBRAGUE — INTMUR83JIS0S</t>
        </is>
      </c>
    </row>
    <row r="19">
      <c r="A19" t="inlineStr">
        <is>
          <t>INTMV1KK3EA9N</t>
        </is>
      </c>
      <c r="B19" t="inlineStr">
        <is>
          <t>CABLE DE TACOMETRI</t>
        </is>
      </c>
      <c r="C19" t="inlineStr"/>
      <c r="D19" t="inlineStr"/>
      <c r="E19" t="n">
        <v>2</v>
      </c>
      <c r="F19" t="n">
        <v>0</v>
      </c>
      <c r="G19" t="n">
        <v>2</v>
      </c>
      <c r="H19" t="inlineStr">
        <is>
          <t>CABLE DE TACOMETRI — INTMV1KK3EA9N</t>
        </is>
      </c>
    </row>
    <row r="20">
      <c r="A20" t="inlineStr">
        <is>
          <t>INTMUR81G5095</t>
        </is>
      </c>
      <c r="B20" t="inlineStr">
        <is>
          <t>CABLE DE VELOCÍMETRO</t>
        </is>
      </c>
      <c r="C20" t="inlineStr"/>
      <c r="D20" t="inlineStr"/>
      <c r="E20" t="n">
        <v>53</v>
      </c>
      <c r="F20" t="n">
        <v>10</v>
      </c>
      <c r="G20" t="n">
        <v>43</v>
      </c>
      <c r="H20" t="inlineStr">
        <is>
          <t>CABLE DE VELOCÍMETRO — INTMUR81G5095</t>
        </is>
      </c>
    </row>
    <row r="21">
      <c r="A21" t="inlineStr">
        <is>
          <t>INTMUR7SB7B6X</t>
        </is>
      </c>
      <c r="B21" t="inlineStr">
        <is>
          <t>CADENA</t>
        </is>
      </c>
      <c r="C21" t="inlineStr"/>
      <c r="D21" t="inlineStr"/>
      <c r="E21" t="n">
        <v>62</v>
      </c>
      <c r="F21" t="n">
        <v>35</v>
      </c>
      <c r="G21" t="n">
        <v>27</v>
      </c>
      <c r="H21" t="inlineStr">
        <is>
          <t>CADENA — INTMUR7SB7B6X</t>
        </is>
      </c>
    </row>
    <row r="22">
      <c r="A22" t="inlineStr">
        <is>
          <t>INTMUR7LQ52QT</t>
        </is>
      </c>
      <c r="B22" t="inlineStr">
        <is>
          <t>CADENILLA DE DISTRIBUCIÓN</t>
        </is>
      </c>
      <c r="C22" t="inlineStr"/>
      <c r="D22" t="inlineStr"/>
      <c r="E22" t="n">
        <v>59</v>
      </c>
      <c r="F22" t="n">
        <v>0</v>
      </c>
      <c r="G22" t="n">
        <v>59</v>
      </c>
      <c r="H22" t="inlineStr">
        <is>
          <t>CADENILLA DE DISTRIBUCIÓN — INTMUR7LQ52QT</t>
        </is>
      </c>
    </row>
    <row r="23">
      <c r="A23" t="inlineStr">
        <is>
          <t>INTMUR7USTJEU</t>
        </is>
      </c>
      <c r="B23" t="inlineStr">
        <is>
          <t>CAJA DE CAMBIO</t>
        </is>
      </c>
      <c r="C23" t="inlineStr"/>
      <c r="D23" t="inlineStr"/>
      <c r="E23" t="n">
        <v>20</v>
      </c>
      <c r="F23" t="n">
        <v>0</v>
      </c>
      <c r="G23" t="n">
        <v>20</v>
      </c>
      <c r="H23" t="inlineStr">
        <is>
          <t>CAJA DE CAMBIO — INTMUR7USTJEU</t>
        </is>
      </c>
    </row>
    <row r="24">
      <c r="A24" t="inlineStr">
        <is>
          <t>INTMUR88B7PQK</t>
        </is>
      </c>
      <c r="B24" t="inlineStr">
        <is>
          <t>CATALINA</t>
        </is>
      </c>
      <c r="C24" t="inlineStr"/>
      <c r="D24" t="inlineStr"/>
      <c r="E24" t="n">
        <v>40</v>
      </c>
      <c r="F24" t="n">
        <v>20</v>
      </c>
      <c r="G24" t="n">
        <v>20</v>
      </c>
      <c r="H24" t="inlineStr">
        <is>
          <t>CATALINA — INTMUR88B7PQK</t>
        </is>
      </c>
    </row>
    <row r="25">
      <c r="A25" t="inlineStr">
        <is>
          <t>INTMUR7J2Y2MV</t>
        </is>
      </c>
      <c r="B25" t="inlineStr">
        <is>
          <t>CAUCHO DE BARRA</t>
        </is>
      </c>
      <c r="C25" t="inlineStr"/>
      <c r="D25" t="inlineStr"/>
      <c r="E25" t="n">
        <v>16</v>
      </c>
      <c r="F25" t="n">
        <v>16</v>
      </c>
      <c r="G25" t="n">
        <v>0</v>
      </c>
      <c r="H25" t="inlineStr">
        <is>
          <t>CAUCHO DE BARRA — INTMUR7J2Y2MV</t>
        </is>
      </c>
    </row>
    <row r="26">
      <c r="A26" t="inlineStr">
        <is>
          <t>INTMUR7OI4SFT</t>
        </is>
      </c>
      <c r="B26" t="inlineStr">
        <is>
          <t>CAUCHO DE VALVULA</t>
        </is>
      </c>
      <c r="C26" t="inlineStr"/>
      <c r="D26" t="inlineStr"/>
      <c r="E26" t="n">
        <v>22</v>
      </c>
      <c r="F26" t="n">
        <v>3</v>
      </c>
      <c r="G26" t="n">
        <v>19</v>
      </c>
      <c r="H26" t="inlineStr">
        <is>
          <t>CAUCHO DE VALVULA — INTMUR7OI4SFT</t>
        </is>
      </c>
    </row>
    <row r="27">
      <c r="A27" t="inlineStr">
        <is>
          <t>INTMUR7ZJPNWD</t>
        </is>
      </c>
      <c r="B27" t="inlineStr">
        <is>
          <t>CAUCHO TANQUE GN125</t>
        </is>
      </c>
      <c r="C27" t="inlineStr"/>
      <c r="D27" t="inlineStr"/>
      <c r="E27" t="n">
        <v>45</v>
      </c>
      <c r="F27" t="n">
        <v>0</v>
      </c>
      <c r="G27" t="n">
        <v>45</v>
      </c>
      <c r="H27" t="inlineStr">
        <is>
          <t>CAUCHO TANQUE GN125 — INTMUR7ZJPNWD</t>
        </is>
      </c>
    </row>
    <row r="28">
      <c r="A28" t="inlineStr">
        <is>
          <t>INTMUR7PL65J9</t>
        </is>
      </c>
      <c r="B28" t="inlineStr">
        <is>
          <t>CDI</t>
        </is>
      </c>
      <c r="C28" t="inlineStr"/>
      <c r="D28" t="inlineStr"/>
      <c r="E28" t="n">
        <v>20</v>
      </c>
      <c r="F28" t="n">
        <v>2</v>
      </c>
      <c r="G28" t="n">
        <v>18</v>
      </c>
      <c r="H28" t="inlineStr">
        <is>
          <t>CDI — INTMUR7PL65J9</t>
        </is>
      </c>
    </row>
    <row r="29">
      <c r="A29" t="inlineStr">
        <is>
          <t>INTMUR7NPK0NF</t>
        </is>
      </c>
      <c r="B29" t="inlineStr">
        <is>
          <t>CILINDRO</t>
        </is>
      </c>
      <c r="C29" t="inlineStr"/>
      <c r="D29" t="inlineStr"/>
      <c r="E29" t="n">
        <v>12</v>
      </c>
      <c r="F29" t="n">
        <v>2</v>
      </c>
      <c r="G29" t="n">
        <v>10</v>
      </c>
      <c r="H29" t="inlineStr">
        <is>
          <t>CILINDRO — INTMUR7NPK0NF</t>
        </is>
      </c>
    </row>
    <row r="30">
      <c r="A30" t="inlineStr">
        <is>
          <t>INTMUR7XOP6Z4</t>
        </is>
      </c>
      <c r="B30" t="inlineStr">
        <is>
          <t>CINTA</t>
        </is>
      </c>
      <c r="C30" t="inlineStr"/>
      <c r="D30" t="inlineStr"/>
      <c r="E30" t="n">
        <v>46</v>
      </c>
      <c r="F30" t="n">
        <v>9</v>
      </c>
      <c r="G30" t="n">
        <v>37</v>
      </c>
      <c r="H30" t="inlineStr">
        <is>
          <t>CINTA — INTMUR7XOP6Z4</t>
        </is>
      </c>
    </row>
    <row r="31">
      <c r="A31" t="inlineStr">
        <is>
          <t>INTMUR86ZUZLI</t>
        </is>
      </c>
      <c r="B31" t="inlineStr">
        <is>
          <t>COMANDO DE LUZ</t>
        </is>
      </c>
      <c r="C31" t="inlineStr"/>
      <c r="D31" t="inlineStr"/>
      <c r="E31" t="n">
        <v>6</v>
      </c>
      <c r="F31" t="n">
        <v>2</v>
      </c>
      <c r="G31" t="n">
        <v>4</v>
      </c>
      <c r="H31" t="inlineStr">
        <is>
          <t>COMANDO DE LUZ — INTMUR86ZUZLI</t>
        </is>
      </c>
    </row>
    <row r="32">
      <c r="A32" t="inlineStr">
        <is>
          <t>INTMUR6FQ6KDZ</t>
        </is>
      </c>
      <c r="B32" t="inlineStr">
        <is>
          <t>DEPURADOR</t>
        </is>
      </c>
      <c r="C32" t="inlineStr"/>
      <c r="D32" t="inlineStr"/>
      <c r="E32" t="n">
        <v>8</v>
      </c>
      <c r="F32" t="n">
        <v>0</v>
      </c>
      <c r="G32" t="n">
        <v>8</v>
      </c>
      <c r="H32" t="inlineStr">
        <is>
          <t>DEPURADOR — INTMUR6FQ6KDZ</t>
        </is>
      </c>
    </row>
    <row r="33">
      <c r="A33" t="inlineStr">
        <is>
          <t>INTMUR7VI1W4M</t>
        </is>
      </c>
      <c r="B33" t="inlineStr">
        <is>
          <t>DISCO DE FRENO DELANTERO</t>
        </is>
      </c>
      <c r="C33" t="inlineStr"/>
      <c r="D33" t="inlineStr"/>
      <c r="E33" t="n">
        <v>55</v>
      </c>
      <c r="F33" t="n">
        <v>2</v>
      </c>
      <c r="G33" t="n">
        <v>53</v>
      </c>
      <c r="H33" t="inlineStr">
        <is>
          <t>DISCO DE FRENO DELANTERO — INTMUR7VI1W4M</t>
        </is>
      </c>
    </row>
    <row r="34">
      <c r="A34" t="inlineStr">
        <is>
          <t>INTMUR73NHKYJ</t>
        </is>
      </c>
      <c r="B34" t="inlineStr">
        <is>
          <t>DOBLE PATA</t>
        </is>
      </c>
      <c r="C34" t="inlineStr"/>
      <c r="D34" t="inlineStr"/>
      <c r="E34" t="n">
        <v>5</v>
      </c>
      <c r="F34" t="n">
        <v>0</v>
      </c>
      <c r="G34" t="n">
        <v>5</v>
      </c>
      <c r="H34" t="inlineStr">
        <is>
          <t>DOBLE PATA — INTMUR73NHKYJ</t>
        </is>
      </c>
    </row>
    <row r="35">
      <c r="A35" t="inlineStr">
        <is>
          <t>INTMUWUAG0EKQ</t>
        </is>
      </c>
      <c r="B35" t="inlineStr">
        <is>
          <t>Eje DELANTERO</t>
        </is>
      </c>
      <c r="C35" t="inlineStr"/>
      <c r="D35" t="inlineStr"/>
      <c r="E35" t="n">
        <v>19</v>
      </c>
      <c r="F35" t="n">
        <v>2</v>
      </c>
      <c r="G35" t="n">
        <v>17</v>
      </c>
      <c r="H35" t="inlineStr">
        <is>
          <t>Eje DELANTERO — INTMUWUAG0EKQ</t>
        </is>
      </c>
    </row>
    <row r="36">
      <c r="A36" t="inlineStr">
        <is>
          <t>INTMUWU9UYQ75</t>
        </is>
      </c>
      <c r="B36" t="inlineStr">
        <is>
          <t>EJE POSTERIOR</t>
        </is>
      </c>
      <c r="C36" t="inlineStr"/>
      <c r="D36" t="inlineStr"/>
      <c r="E36" t="n">
        <v>16</v>
      </c>
      <c r="F36" t="n">
        <v>2</v>
      </c>
      <c r="G36" t="n">
        <v>14</v>
      </c>
      <c r="H36" t="inlineStr">
        <is>
          <t>EJE POSTERIOR — INTMUWU9UYQ75</t>
        </is>
      </c>
    </row>
    <row r="37">
      <c r="A37" t="inlineStr">
        <is>
          <t>INTMUR87C52CL</t>
        </is>
      </c>
      <c r="B37" t="inlineStr">
        <is>
          <t>EMPAQUE</t>
        </is>
      </c>
      <c r="C37" t="inlineStr"/>
      <c r="D37" t="inlineStr"/>
      <c r="E37" t="n">
        <v>13</v>
      </c>
      <c r="F37" t="n">
        <v>2</v>
      </c>
      <c r="G37" t="n">
        <v>11</v>
      </c>
      <c r="H37" t="inlineStr">
        <is>
          <t>EMPAQUE — INTMUR87C52CL</t>
        </is>
      </c>
    </row>
    <row r="38">
      <c r="A38" t="inlineStr">
        <is>
          <t>INTMUR84NNXT0</t>
        </is>
      </c>
      <c r="B38" t="inlineStr">
        <is>
          <t>ESPEJO</t>
        </is>
      </c>
      <c r="C38" t="inlineStr"/>
      <c r="D38" t="inlineStr"/>
      <c r="E38" t="n">
        <v>39</v>
      </c>
      <c r="F38" t="n">
        <v>11</v>
      </c>
      <c r="G38" t="n">
        <v>28</v>
      </c>
      <c r="H38" t="inlineStr">
        <is>
          <t>ESPEJO — INTMUR84NNXT0</t>
        </is>
      </c>
    </row>
    <row r="39">
      <c r="A39" t="inlineStr">
        <is>
          <t>INTMUR7QAZSK6</t>
        </is>
      </c>
      <c r="B39" t="inlineStr">
        <is>
          <t>FILTRO DE ACEITE</t>
        </is>
      </c>
      <c r="C39" t="inlineStr"/>
      <c r="D39" t="inlineStr"/>
      <c r="E39" t="n">
        <v>112</v>
      </c>
      <c r="F39" t="n">
        <v>38</v>
      </c>
      <c r="G39" t="n">
        <v>74</v>
      </c>
      <c r="H39" t="inlineStr">
        <is>
          <t>FILTRO DE ACEITE — INTMUR7QAZSK6</t>
        </is>
      </c>
    </row>
    <row r="40">
      <c r="A40" t="inlineStr">
        <is>
          <t>INTMUR7YVEV3I</t>
        </is>
      </c>
      <c r="B40" t="inlineStr">
        <is>
          <t>FOCO LED</t>
        </is>
      </c>
      <c r="C40" t="inlineStr"/>
      <c r="D40" t="inlineStr"/>
      <c r="E40" t="n">
        <v>60</v>
      </c>
      <c r="F40" t="n">
        <v>0</v>
      </c>
      <c r="G40" t="n">
        <v>60</v>
      </c>
      <c r="H40" t="inlineStr">
        <is>
          <t>FOCO LED — INTMUR7YVEV3I</t>
        </is>
      </c>
    </row>
    <row r="41">
      <c r="A41" t="inlineStr">
        <is>
          <t>INTMUR7VRD29L</t>
        </is>
      </c>
      <c r="B41" t="inlineStr">
        <is>
          <t>Goma</t>
        </is>
      </c>
      <c r="C41" t="inlineStr"/>
      <c r="D41" t="inlineStr"/>
      <c r="E41" t="n">
        <v>304</v>
      </c>
      <c r="F41" t="n">
        <v>0</v>
      </c>
      <c r="G41" t="n">
        <v>304</v>
      </c>
      <c r="H41" t="inlineStr">
        <is>
          <t>Goma — INTMUR7VRD29L</t>
        </is>
      </c>
    </row>
    <row r="42">
      <c r="A42" t="inlineStr">
        <is>
          <t>INTMUR7W8WZGN</t>
        </is>
      </c>
      <c r="B42" t="inlineStr">
        <is>
          <t>GRASA</t>
        </is>
      </c>
      <c r="C42" t="inlineStr"/>
      <c r="D42" t="inlineStr"/>
      <c r="E42" t="n">
        <v>47</v>
      </c>
      <c r="F42" t="n">
        <v>5</v>
      </c>
      <c r="G42" t="n">
        <v>42</v>
      </c>
      <c r="H42" t="inlineStr">
        <is>
          <t>GRASA — INTMUR7W8WZGN</t>
        </is>
      </c>
    </row>
    <row r="43">
      <c r="A43" t="inlineStr">
        <is>
          <t>INTMV1IRC7HB5</t>
        </is>
      </c>
      <c r="B43" t="inlineStr">
        <is>
          <t>GUARDAFANGOS</t>
        </is>
      </c>
      <c r="C43" t="inlineStr"/>
      <c r="D43" t="inlineStr"/>
      <c r="E43" t="n">
        <v>13</v>
      </c>
      <c r="F43" t="n">
        <v>5</v>
      </c>
      <c r="G43" t="n">
        <v>8</v>
      </c>
      <c r="H43" t="inlineStr">
        <is>
          <t>GUARDAFANGOS — INTMV1IRC7HB5</t>
        </is>
      </c>
    </row>
    <row r="44">
      <c r="A44" t="inlineStr">
        <is>
          <t>INTMUR6GS62JC</t>
        </is>
      </c>
      <c r="B44" t="inlineStr">
        <is>
          <t>GUIA CON BASE</t>
        </is>
      </c>
      <c r="C44" t="inlineStr"/>
      <c r="D44" t="inlineStr"/>
      <c r="E44" t="n">
        <v>34</v>
      </c>
      <c r="F44" t="n">
        <v>5</v>
      </c>
      <c r="G44" t="n">
        <v>29</v>
      </c>
      <c r="H44" t="inlineStr">
        <is>
          <t>GUIA CON BASE — INTMUR6GS62JC</t>
        </is>
      </c>
    </row>
    <row r="45">
      <c r="A45" t="inlineStr">
        <is>
          <t>INTMUR85810ID</t>
        </is>
      </c>
      <c r="B45" t="inlineStr">
        <is>
          <t>INSTALACION ELECTRICA</t>
        </is>
      </c>
      <c r="C45" t="inlineStr"/>
      <c r="D45" t="inlineStr"/>
      <c r="E45" t="n">
        <v>14</v>
      </c>
      <c r="F45" t="n">
        <v>0</v>
      </c>
      <c r="G45" t="n">
        <v>14</v>
      </c>
      <c r="H45" t="inlineStr">
        <is>
          <t>INSTALACION ELECTRICA — INTMUR85810ID</t>
        </is>
      </c>
    </row>
    <row r="46">
      <c r="A46" t="inlineStr">
        <is>
          <t>INTMV1KJEWKJZ</t>
        </is>
      </c>
      <c r="B46" t="inlineStr">
        <is>
          <t>INSTALACIONES COMPLETA</t>
        </is>
      </c>
      <c r="C46" t="inlineStr"/>
      <c r="D46" t="inlineStr"/>
      <c r="E46" t="n">
        <v>2</v>
      </c>
      <c r="F46" t="n">
        <v>0</v>
      </c>
      <c r="G46" t="n">
        <v>2</v>
      </c>
      <c r="H46" t="inlineStr">
        <is>
          <t>INSTALACIONES COMPLETA — INTMV1KJEWKJZ</t>
        </is>
      </c>
    </row>
    <row r="47">
      <c r="A47" t="inlineStr">
        <is>
          <t>INTMV1KNVNW5U</t>
        </is>
      </c>
      <c r="B47" t="inlineStr">
        <is>
          <t>INTERRUPTOR ENCENDIDO</t>
        </is>
      </c>
      <c r="C47" t="inlineStr"/>
      <c r="D47" t="inlineStr"/>
      <c r="E47" t="n">
        <v>1</v>
      </c>
      <c r="F47" t="n">
        <v>0</v>
      </c>
      <c r="G47" t="n">
        <v>1</v>
      </c>
      <c r="H47" t="inlineStr">
        <is>
          <t>INTERRUPTOR ENCENDIDO — INTMV1KNVNW5U</t>
        </is>
      </c>
    </row>
    <row r="48">
      <c r="A48" t="inlineStr">
        <is>
          <t>INTMUR7TUL3HW</t>
        </is>
      </c>
      <c r="B48" t="inlineStr">
        <is>
          <t>JUEGO DE SHICHE</t>
        </is>
      </c>
      <c r="C48" t="inlineStr"/>
      <c r="D48" t="inlineStr"/>
      <c r="E48" t="n">
        <v>19</v>
      </c>
      <c r="F48" t="n">
        <v>0</v>
      </c>
      <c r="G48" t="n">
        <v>19</v>
      </c>
      <c r="H48" t="inlineStr">
        <is>
          <t>JUEGO DE SHICHE — INTMUR7TUL3HW</t>
        </is>
      </c>
    </row>
    <row r="49">
      <c r="A49" t="inlineStr">
        <is>
          <t>INTMV1KLX0Z18</t>
        </is>
      </c>
      <c r="B49" t="inlineStr">
        <is>
          <t>KIT DE ESTOPERA</t>
        </is>
      </c>
      <c r="C49" t="inlineStr"/>
      <c r="D49" t="inlineStr"/>
      <c r="E49" t="n">
        <v>12</v>
      </c>
      <c r="F49" t="n">
        <v>0</v>
      </c>
      <c r="G49" t="n">
        <v>12</v>
      </c>
      <c r="H49" t="inlineStr">
        <is>
          <t>KIT DE ESTOPERA — INTMV1KLX0Z18</t>
        </is>
      </c>
    </row>
    <row r="50">
      <c r="A50" t="inlineStr">
        <is>
          <t>INTMUR82H7ODJ</t>
        </is>
      </c>
      <c r="B50" t="inlineStr">
        <is>
          <t>LIQUIDO DE FRENO</t>
        </is>
      </c>
      <c r="C50" t="inlineStr"/>
      <c r="D50" t="inlineStr"/>
      <c r="E50" t="n">
        <v>10</v>
      </c>
      <c r="F50" t="n">
        <v>2</v>
      </c>
      <c r="G50" t="n">
        <v>8</v>
      </c>
      <c r="H50" t="inlineStr">
        <is>
          <t>LIQUIDO DE FRENO — INTMUR82H7ODJ</t>
        </is>
      </c>
    </row>
    <row r="51">
      <c r="A51" t="inlineStr">
        <is>
          <t>INTMUR89T9974</t>
        </is>
      </c>
      <c r="B51" t="inlineStr">
        <is>
          <t>LLANTAS</t>
        </is>
      </c>
      <c r="C51" t="inlineStr"/>
      <c r="D51" t="inlineStr"/>
      <c r="E51" t="n">
        <v>10</v>
      </c>
      <c r="F51" t="n">
        <v>10</v>
      </c>
      <c r="G51" t="n">
        <v>0</v>
      </c>
      <c r="H51" t="inlineStr">
        <is>
          <t>LLANTAS — INTMUR89T9974</t>
        </is>
      </c>
    </row>
    <row r="52">
      <c r="A52" t="inlineStr">
        <is>
          <t>INTMUWUAQ5AIV</t>
        </is>
      </c>
      <c r="B52" t="inlineStr">
        <is>
          <t>LLAVE DE GASOLINA</t>
        </is>
      </c>
      <c r="C52" t="inlineStr"/>
      <c r="D52" t="inlineStr"/>
      <c r="E52" t="n">
        <v>13</v>
      </c>
      <c r="F52" t="n">
        <v>5</v>
      </c>
      <c r="G52" t="n">
        <v>8</v>
      </c>
      <c r="H52" t="inlineStr">
        <is>
          <t>LLAVE DE GASOLINA — INTMUWUAQ5AIV</t>
        </is>
      </c>
    </row>
    <row r="53">
      <c r="A53" t="inlineStr">
        <is>
          <t>INTMUR7SY509P</t>
        </is>
      </c>
      <c r="B53" t="inlineStr">
        <is>
          <t>MAGNETO</t>
        </is>
      </c>
      <c r="C53" t="inlineStr"/>
      <c r="D53" t="inlineStr"/>
      <c r="E53" t="n">
        <v>12</v>
      </c>
      <c r="F53" t="n">
        <v>0</v>
      </c>
      <c r="G53" t="n">
        <v>12</v>
      </c>
      <c r="H53" t="inlineStr">
        <is>
          <t>MAGNETO — INTMUR7SY509P</t>
        </is>
      </c>
    </row>
    <row r="54">
      <c r="A54" t="inlineStr">
        <is>
          <t>INTMUR82TEDZ9</t>
        </is>
      </c>
      <c r="B54" t="inlineStr">
        <is>
          <t>MALLA DE ASIENTO</t>
        </is>
      </c>
      <c r="C54" t="inlineStr"/>
      <c r="D54" t="inlineStr"/>
      <c r="E54" t="n">
        <v>45</v>
      </c>
      <c r="F54" t="n">
        <v>5</v>
      </c>
      <c r="G54" t="n">
        <v>40</v>
      </c>
      <c r="H54" t="inlineStr">
        <is>
          <t>MALLA DE ASIENTO — INTMUR82TEDZ9</t>
        </is>
      </c>
    </row>
    <row r="55">
      <c r="A55" t="inlineStr">
        <is>
          <t>INTMURF2B68PN</t>
        </is>
      </c>
      <c r="B55" t="inlineStr">
        <is>
          <t>MANGUERA CAUCHO HIDRÁULICA</t>
        </is>
      </c>
      <c r="C55" t="inlineStr"/>
      <c r="D55" t="inlineStr"/>
      <c r="E55" t="n">
        <v>33</v>
      </c>
      <c r="F55" t="n">
        <v>0</v>
      </c>
      <c r="G55" t="n">
        <v>33</v>
      </c>
      <c r="H55" t="inlineStr">
        <is>
          <t>MANGUERA CAUCHO HIDRÁULICA — INTMURF2B68PN</t>
        </is>
      </c>
    </row>
    <row r="56">
      <c r="A56" t="inlineStr">
        <is>
          <t>INTMUR74482GH</t>
        </is>
      </c>
      <c r="B56" t="inlineStr">
        <is>
          <t>MANILLA DE EMBRAGUE</t>
        </is>
      </c>
      <c r="C56" t="inlineStr"/>
      <c r="D56" t="inlineStr"/>
      <c r="E56" t="n">
        <v>31</v>
      </c>
      <c r="F56" t="n">
        <v>10</v>
      </c>
      <c r="G56" t="n">
        <v>21</v>
      </c>
      <c r="H56" t="inlineStr">
        <is>
          <t>MANILLA DE EMBRAGUE — INTMUR74482GH</t>
        </is>
      </c>
    </row>
    <row r="57">
      <c r="A57" t="inlineStr">
        <is>
          <t>INTMUR7OVSQP1</t>
        </is>
      </c>
      <c r="B57" t="inlineStr">
        <is>
          <t>MORDAZA</t>
        </is>
      </c>
      <c r="C57" t="inlineStr"/>
      <c r="D57" t="inlineStr"/>
      <c r="E57" t="n">
        <v>38</v>
      </c>
      <c r="F57" t="n">
        <v>0</v>
      </c>
      <c r="G57" t="n">
        <v>38</v>
      </c>
      <c r="H57" t="inlineStr">
        <is>
          <t>MORDAZA — INTMUR7OVSQP1</t>
        </is>
      </c>
    </row>
    <row r="58">
      <c r="A58" t="inlineStr">
        <is>
          <t>INTMV5F5Z5ZL3</t>
        </is>
      </c>
      <c r="B58" t="inlineStr">
        <is>
          <t>Oscilantes</t>
        </is>
      </c>
      <c r="C58" t="inlineStr"/>
      <c r="D58" t="inlineStr"/>
      <c r="E58" t="n">
        <v>9</v>
      </c>
      <c r="F58" t="n">
        <v>4</v>
      </c>
      <c r="G58" t="n">
        <v>5</v>
      </c>
      <c r="H58" t="inlineStr">
        <is>
          <t>Oscilantes — INTMV5F5Z5ZL3</t>
        </is>
      </c>
    </row>
    <row r="59">
      <c r="A59" t="inlineStr">
        <is>
          <t>6920868900011</t>
        </is>
      </c>
      <c r="B59" t="inlineStr">
        <is>
          <t>PARCHES</t>
        </is>
      </c>
      <c r="C59" t="inlineStr"/>
      <c r="D59" t="inlineStr"/>
      <c r="E59" t="n">
        <v>701</v>
      </c>
      <c r="F59" t="n">
        <v>0</v>
      </c>
      <c r="G59" t="n">
        <v>701</v>
      </c>
      <c r="H59" t="inlineStr">
        <is>
          <t>PARCHES — 6920868900011</t>
        </is>
      </c>
    </row>
    <row r="60">
      <c r="A60" t="inlineStr">
        <is>
          <t>INTMUR74JFKA3</t>
        </is>
      </c>
      <c r="B60" t="inlineStr">
        <is>
          <t>PASTILLA DE FRENO</t>
        </is>
      </c>
      <c r="C60" t="inlineStr"/>
      <c r="D60" t="inlineStr"/>
      <c r="E60" t="n">
        <v>112</v>
      </c>
      <c r="F60" t="n">
        <v>0</v>
      </c>
      <c r="G60" t="n">
        <v>112</v>
      </c>
      <c r="H60" t="inlineStr">
        <is>
          <t>PASTILLA DE FRENO — INTMUR74JFKA3</t>
        </is>
      </c>
    </row>
    <row r="61">
      <c r="A61" t="inlineStr">
        <is>
          <t>INTMUR7J05A3Q</t>
        </is>
      </c>
      <c r="B61" t="inlineStr">
        <is>
          <t>PATA DE APOYO</t>
        </is>
      </c>
      <c r="C61" t="inlineStr"/>
      <c r="D61" t="inlineStr"/>
      <c r="E61" t="n">
        <v>36</v>
      </c>
      <c r="F61" t="n">
        <v>5</v>
      </c>
      <c r="G61" t="n">
        <v>31</v>
      </c>
      <c r="H61" t="inlineStr">
        <is>
          <t>PATA DE APOYO — INTMUR7J05A3Q</t>
        </is>
      </c>
    </row>
    <row r="62">
      <c r="A62" t="inlineStr">
        <is>
          <t>INTMUR7KYJYGE</t>
        </is>
      </c>
      <c r="B62" t="inlineStr">
        <is>
          <t>PEDAL DE FRENO</t>
        </is>
      </c>
      <c r="C62" t="inlineStr"/>
      <c r="D62" t="inlineStr"/>
      <c r="E62" t="n">
        <v>3</v>
      </c>
      <c r="F62" t="n">
        <v>0</v>
      </c>
      <c r="G62" t="n">
        <v>3</v>
      </c>
      <c r="H62" t="inlineStr">
        <is>
          <t>PEDAL DE FRENO — INTMUR7KYJYGE</t>
        </is>
      </c>
    </row>
    <row r="63">
      <c r="A63" t="inlineStr">
        <is>
          <t>INTMUR6DWR3B4</t>
        </is>
      </c>
      <c r="B63" t="inlineStr">
        <is>
          <t>PIÑOÑ</t>
        </is>
      </c>
      <c r="C63" t="inlineStr"/>
      <c r="D63" t="inlineStr"/>
      <c r="E63" t="n">
        <v>65</v>
      </c>
      <c r="F63" t="n">
        <v>35</v>
      </c>
      <c r="G63" t="n">
        <v>30</v>
      </c>
      <c r="H63" t="inlineStr">
        <is>
          <t>PIÑOÑ — INTMUR6DWR3B4</t>
        </is>
      </c>
    </row>
    <row r="64">
      <c r="A64" t="inlineStr">
        <is>
          <t>INTMUR7GIFU52</t>
        </is>
      </c>
      <c r="B64" t="inlineStr">
        <is>
          <t>PIÑON DE VELOCÍMETRO</t>
        </is>
      </c>
      <c r="C64" t="inlineStr"/>
      <c r="D64" t="inlineStr"/>
      <c r="E64" t="n">
        <v>45</v>
      </c>
      <c r="F64" t="n">
        <v>14</v>
      </c>
      <c r="G64" t="n">
        <v>31</v>
      </c>
      <c r="H64" t="inlineStr">
        <is>
          <t>PIÑON DE VELOCÍMETRO — INTMUR7GIFU52</t>
        </is>
      </c>
    </row>
    <row r="65">
      <c r="A65" t="inlineStr">
        <is>
          <t>INTMUR85SOCQ4</t>
        </is>
      </c>
      <c r="B65" t="inlineStr">
        <is>
          <t>PISADERO TRASERA</t>
        </is>
      </c>
      <c r="C65" t="inlineStr"/>
      <c r="D65" t="inlineStr"/>
      <c r="E65" t="n">
        <v>36</v>
      </c>
      <c r="F65" t="n">
        <v>0</v>
      </c>
      <c r="G65" t="n">
        <v>36</v>
      </c>
      <c r="H65" t="inlineStr">
        <is>
          <t>PISADERO TRASERA — INTMUR85SOCQ4</t>
        </is>
      </c>
    </row>
    <row r="66">
      <c r="A66" t="inlineStr">
        <is>
          <t>INTMUR7XZGFWO</t>
        </is>
      </c>
      <c r="B66" t="inlineStr">
        <is>
          <t>PISTA DE DIRECCIÓN</t>
        </is>
      </c>
      <c r="C66" t="inlineStr"/>
      <c r="D66" t="inlineStr"/>
      <c r="E66" t="n">
        <v>57</v>
      </c>
      <c r="F66" t="n">
        <v>6</v>
      </c>
      <c r="G66" t="n">
        <v>51</v>
      </c>
      <c r="H66" t="inlineStr">
        <is>
          <t>PISTA DE DIRECCIÓN — INTMUR7XZGFWO</t>
        </is>
      </c>
    </row>
    <row r="67">
      <c r="A67" t="inlineStr">
        <is>
          <t>INTMUR813H8QA</t>
        </is>
      </c>
      <c r="B67" t="inlineStr">
        <is>
          <t>PISTA DE TIMÓN</t>
        </is>
      </c>
      <c r="C67" t="inlineStr"/>
      <c r="D67" t="inlineStr"/>
      <c r="E67" t="n">
        <v>12</v>
      </c>
      <c r="F67" t="n">
        <v>0</v>
      </c>
      <c r="G67" t="n">
        <v>12</v>
      </c>
      <c r="H67" t="inlineStr">
        <is>
          <t>PISTA DE TIMÓN — INTMUR813H8QA</t>
        </is>
      </c>
    </row>
    <row r="68">
      <c r="A68" t="inlineStr">
        <is>
          <t>INTMUR7MMADKX</t>
        </is>
      </c>
      <c r="B68" t="inlineStr">
        <is>
          <t>PISTON</t>
        </is>
      </c>
      <c r="C68" t="inlineStr"/>
      <c r="D68" t="inlineStr"/>
      <c r="E68" t="n">
        <v>23</v>
      </c>
      <c r="F68" t="n">
        <v>0</v>
      </c>
      <c r="G68" t="n">
        <v>23</v>
      </c>
      <c r="H68" t="inlineStr">
        <is>
          <t>PISTON — INTMUR7MMADKX</t>
        </is>
      </c>
    </row>
    <row r="69">
      <c r="A69" t="inlineStr">
        <is>
          <t>INTMUR732T5B9</t>
        </is>
      </c>
      <c r="B69" t="inlineStr">
        <is>
          <t>PLATO DE EMBRAGUE</t>
        </is>
      </c>
      <c r="C69" t="inlineStr"/>
      <c r="D69" t="inlineStr"/>
      <c r="E69" t="n">
        <v>11</v>
      </c>
      <c r="F69" t="n">
        <v>0</v>
      </c>
      <c r="G69" t="n">
        <v>11</v>
      </c>
      <c r="H69" t="inlineStr">
        <is>
          <t>PLATO DE EMBRAGUE — INTMUR732T5B9</t>
        </is>
      </c>
    </row>
    <row r="70">
      <c r="A70" t="inlineStr">
        <is>
          <t>INTMUR7H8IR7G</t>
        </is>
      </c>
      <c r="B70" t="inlineStr">
        <is>
          <t>PORTA ZAPATA</t>
        </is>
      </c>
      <c r="C70" t="inlineStr"/>
      <c r="D70" t="inlineStr"/>
      <c r="E70" t="n">
        <v>15</v>
      </c>
      <c r="F70" t="n">
        <v>0</v>
      </c>
      <c r="G70" t="n">
        <v>15</v>
      </c>
      <c r="H70" t="inlineStr">
        <is>
          <t>PORTA ZAPATA — INTMUR7H8IR7G</t>
        </is>
      </c>
    </row>
    <row r="71">
      <c r="A71" t="inlineStr">
        <is>
          <t>INTMV5F6THW71</t>
        </is>
      </c>
      <c r="B71" t="inlineStr">
        <is>
          <t>rectificadores de corriente</t>
        </is>
      </c>
      <c r="C71" t="inlineStr"/>
      <c r="D71" t="inlineStr"/>
      <c r="E71" t="n">
        <v>60</v>
      </c>
      <c r="F71" t="n">
        <v>5</v>
      </c>
      <c r="G71" t="n">
        <v>55</v>
      </c>
      <c r="H71" t="inlineStr">
        <is>
          <t>rectificadores de corriente — INTMV5F6THW71</t>
        </is>
      </c>
    </row>
    <row r="72">
      <c r="A72" t="inlineStr">
        <is>
          <t>INTMV1KIFNBHW</t>
        </is>
      </c>
      <c r="B72" t="inlineStr">
        <is>
          <t>RESORTES DOBLE PATA</t>
        </is>
      </c>
      <c r="C72" t="inlineStr"/>
      <c r="D72" t="inlineStr"/>
      <c r="E72" t="n">
        <v>23</v>
      </c>
      <c r="F72" t="n">
        <v>0</v>
      </c>
      <c r="G72" t="n">
        <v>23</v>
      </c>
      <c r="H72" t="inlineStr">
        <is>
          <t>RESORTES DOBLE PATA — INTMV1KIFNBHW</t>
        </is>
      </c>
    </row>
    <row r="73">
      <c r="A73" t="inlineStr">
        <is>
          <t>INTMUR7FAZ1ZT</t>
        </is>
      </c>
      <c r="B73" t="inlineStr">
        <is>
          <t>RULIMAN -6204</t>
        </is>
      </c>
      <c r="C73" t="inlineStr"/>
      <c r="D73" t="inlineStr"/>
      <c r="E73" t="n">
        <v>40</v>
      </c>
      <c r="F73" t="n">
        <v>0</v>
      </c>
      <c r="G73" t="n">
        <v>40</v>
      </c>
      <c r="H73" t="inlineStr">
        <is>
          <t>RULIMAN -6204 — INTMUR7FAZ1ZT</t>
        </is>
      </c>
    </row>
    <row r="74">
      <c r="A74" t="inlineStr">
        <is>
          <t>INTMUR7ZW06JI</t>
        </is>
      </c>
      <c r="B74" t="inlineStr">
        <is>
          <t>RULIMAN 6301</t>
        </is>
      </c>
      <c r="C74" t="inlineStr"/>
      <c r="D74" t="inlineStr"/>
      <c r="E74" t="n">
        <v>125</v>
      </c>
      <c r="F74" t="n">
        <v>0</v>
      </c>
      <c r="G74" t="n">
        <v>125</v>
      </c>
      <c r="H74" t="inlineStr">
        <is>
          <t>RULIMAN 6301 — INTMUR7ZW06JI</t>
        </is>
      </c>
    </row>
    <row r="75">
      <c r="A75" t="inlineStr">
        <is>
          <t>INTMUR80FGDDK</t>
        </is>
      </c>
      <c r="B75" t="inlineStr">
        <is>
          <t>RULIMAN 6302</t>
        </is>
      </c>
      <c r="C75" t="inlineStr"/>
      <c r="D75" t="inlineStr"/>
      <c r="E75" t="n">
        <v>58</v>
      </c>
      <c r="F75" t="n">
        <v>0</v>
      </c>
      <c r="G75" t="n">
        <v>58</v>
      </c>
      <c r="H75" t="inlineStr">
        <is>
          <t>RULIMAN 6302 — INTMUR80FGDDK</t>
        </is>
      </c>
    </row>
    <row r="76">
      <c r="A76" t="inlineStr">
        <is>
          <t>INTMUR7TCW617</t>
        </is>
      </c>
      <c r="B76" t="inlineStr">
        <is>
          <t>SHICHE</t>
        </is>
      </c>
      <c r="C76" t="inlineStr"/>
      <c r="D76" t="inlineStr"/>
      <c r="E76" t="n">
        <v>4</v>
      </c>
      <c r="F76" t="n">
        <v>1</v>
      </c>
      <c r="G76" t="n">
        <v>3</v>
      </c>
      <c r="H76" t="inlineStr">
        <is>
          <t>SHICHE — INTMUR7TCW617</t>
        </is>
      </c>
    </row>
    <row r="77">
      <c r="A77" t="inlineStr">
        <is>
          <t>INTMV1KLDHGAI</t>
        </is>
      </c>
      <c r="B77" t="inlineStr">
        <is>
          <t>sockets</t>
        </is>
      </c>
      <c r="C77" t="inlineStr"/>
      <c r="D77" t="inlineStr"/>
      <c r="E77" t="n">
        <v>1</v>
      </c>
      <c r="F77" t="n">
        <v>0</v>
      </c>
      <c r="G77" t="n">
        <v>1</v>
      </c>
      <c r="H77" t="inlineStr">
        <is>
          <t>sockets — INTMV1KLDHGAI</t>
        </is>
      </c>
    </row>
    <row r="78">
      <c r="A78" t="inlineStr">
        <is>
          <t>INTMV849SU9JU</t>
        </is>
      </c>
      <c r="B78" t="inlineStr">
        <is>
          <t>STOP</t>
        </is>
      </c>
      <c r="C78" t="inlineStr"/>
      <c r="D78" t="inlineStr"/>
      <c r="E78" t="n">
        <v>19</v>
      </c>
      <c r="F78" t="n">
        <v>0</v>
      </c>
      <c r="G78" t="n">
        <v>19</v>
      </c>
      <c r="H78" t="inlineStr">
        <is>
          <t>STOP — INTMV849SU9JU</t>
        </is>
      </c>
    </row>
    <row r="79">
      <c r="A79" t="inlineStr">
        <is>
          <t>INTMUR8693X5W</t>
        </is>
      </c>
      <c r="B79" t="inlineStr">
        <is>
          <t>TABLERO</t>
        </is>
      </c>
      <c r="C79" t="inlineStr"/>
      <c r="D79" t="inlineStr"/>
      <c r="E79" t="n">
        <v>9</v>
      </c>
      <c r="F79" t="n">
        <v>2</v>
      </c>
      <c r="G79" t="n">
        <v>7</v>
      </c>
      <c r="H79" t="inlineStr">
        <is>
          <t>TABLERO — INTMUR8693X5W</t>
        </is>
      </c>
    </row>
    <row r="80">
      <c r="A80" t="inlineStr">
        <is>
          <t>INTMV1KHFNVAP</t>
        </is>
      </c>
      <c r="B80" t="inlineStr">
        <is>
          <t>TAPA DE BOBINA</t>
        </is>
      </c>
      <c r="C80" t="inlineStr"/>
      <c r="D80" t="inlineStr"/>
      <c r="E80" t="n">
        <v>5</v>
      </c>
      <c r="F80" t="n">
        <v>0</v>
      </c>
      <c r="G80" t="n">
        <v>5</v>
      </c>
      <c r="H80" t="inlineStr">
        <is>
          <t>TAPA DE BOBINA — INTMV1KHFNVAP</t>
        </is>
      </c>
    </row>
    <row r="81">
      <c r="A81" t="inlineStr">
        <is>
          <t>INTMUR7WLFUTW</t>
        </is>
      </c>
      <c r="B81" t="inlineStr">
        <is>
          <t>TAPA LATERAL GN125</t>
        </is>
      </c>
      <c r="C81" t="inlineStr"/>
      <c r="D81" t="inlineStr"/>
      <c r="E81" t="n">
        <v>33</v>
      </c>
      <c r="F81" t="n">
        <v>0</v>
      </c>
      <c r="G81" t="n">
        <v>33</v>
      </c>
      <c r="H81" t="inlineStr">
        <is>
          <t>TAPA LATERAL GN125 — INTMUR7WLFUTW</t>
        </is>
      </c>
    </row>
    <row r="82">
      <c r="A82" t="inlineStr">
        <is>
          <t>INTMUR88WJP37</t>
        </is>
      </c>
      <c r="B82" t="inlineStr">
        <is>
          <t>Tela negra</t>
        </is>
      </c>
      <c r="C82" t="inlineStr"/>
      <c r="D82" t="inlineStr"/>
      <c r="E82" t="n">
        <v>52</v>
      </c>
      <c r="F82" t="n">
        <v>0</v>
      </c>
      <c r="G82" t="n">
        <v>52</v>
      </c>
      <c r="H82" t="inlineStr">
        <is>
          <t>Tela negra — INTMUR88WJP37</t>
        </is>
      </c>
    </row>
    <row r="83">
      <c r="A83" t="inlineStr">
        <is>
          <t>INTMUR7I6L5ZB</t>
        </is>
      </c>
      <c r="B83" t="inlineStr">
        <is>
          <t>TEMPLADOR DE CADENA</t>
        </is>
      </c>
      <c r="C83" t="inlineStr"/>
      <c r="D83" t="inlineStr"/>
      <c r="E83" t="n">
        <v>97</v>
      </c>
      <c r="F83" t="n">
        <v>10</v>
      </c>
      <c r="G83" t="n">
        <v>87</v>
      </c>
      <c r="H83" t="inlineStr">
        <is>
          <t>TEMPLADOR DE CADENA — INTMUR7I6L5ZB</t>
        </is>
      </c>
    </row>
    <row r="84">
      <c r="A84" t="inlineStr">
        <is>
          <t>INTMUR7YIDCYE</t>
        </is>
      </c>
      <c r="B84" t="inlineStr">
        <is>
          <t>TENSON DE CADENILLA</t>
        </is>
      </c>
      <c r="C84" t="inlineStr"/>
      <c r="D84" t="inlineStr"/>
      <c r="E84" t="n">
        <v>61</v>
      </c>
      <c r="F84" t="n">
        <v>0</v>
      </c>
      <c r="G84" t="n">
        <v>61</v>
      </c>
      <c r="H84" t="inlineStr">
        <is>
          <t>TENSON DE CADENILLA — INTMUR7YIDCYE</t>
        </is>
      </c>
    </row>
    <row r="85">
      <c r="A85" t="inlineStr">
        <is>
          <t>INTMUR87JB7DY</t>
        </is>
      </c>
      <c r="B85" t="inlineStr">
        <is>
          <t>TROMPO DE CAMBIO</t>
        </is>
      </c>
      <c r="C85" t="inlineStr"/>
      <c r="D85" t="inlineStr"/>
      <c r="E85" t="n">
        <v>36</v>
      </c>
      <c r="F85" t="n">
        <v>0</v>
      </c>
      <c r="G85" t="n">
        <v>36</v>
      </c>
      <c r="H85" t="inlineStr">
        <is>
          <t>TROMPO DE CAMBIO — INTMUR87JB7DY</t>
        </is>
      </c>
    </row>
    <row r="86">
      <c r="A86" t="inlineStr">
        <is>
          <t>INTMUR89FVKWC</t>
        </is>
      </c>
      <c r="B86" t="inlineStr">
        <is>
          <t>Tubo</t>
        </is>
      </c>
      <c r="C86" t="inlineStr"/>
      <c r="D86" t="inlineStr"/>
      <c r="E86" t="n">
        <v>38</v>
      </c>
      <c r="F86" t="n">
        <v>10</v>
      </c>
      <c r="G86" t="n">
        <v>28</v>
      </c>
      <c r="H86" t="inlineStr">
        <is>
          <t>Tubo — INTMUR89FVKWC</t>
        </is>
      </c>
    </row>
    <row r="87">
      <c r="A87" t="inlineStr">
        <is>
          <t>INTMUR7X2YW10</t>
        </is>
      </c>
      <c r="B87" t="inlineStr">
        <is>
          <t>TUBO DE ESCAPE</t>
        </is>
      </c>
      <c r="C87" t="inlineStr"/>
      <c r="D87" t="inlineStr"/>
      <c r="E87" t="n">
        <v>12</v>
      </c>
      <c r="F87" t="n">
        <v>2</v>
      </c>
      <c r="G87" t="n">
        <v>10</v>
      </c>
      <c r="H87" t="inlineStr">
        <is>
          <t>TUBO DE ESCAPE — INTMUR7X2YW10</t>
        </is>
      </c>
    </row>
    <row r="88">
      <c r="A88" t="inlineStr">
        <is>
          <t>INTMUR7O0JV18</t>
        </is>
      </c>
      <c r="B88" t="inlineStr">
        <is>
          <t>VALVULA</t>
        </is>
      </c>
      <c r="C88" t="inlineStr"/>
      <c r="D88" t="inlineStr"/>
      <c r="E88" t="n">
        <v>36</v>
      </c>
      <c r="F88" t="n">
        <v>7</v>
      </c>
      <c r="G88" t="n">
        <v>29</v>
      </c>
      <c r="H88" t="inlineStr">
        <is>
          <t>VALVULA — INTMUR7O0JV18</t>
        </is>
      </c>
    </row>
    <row r="89">
      <c r="A89" t="inlineStr">
        <is>
          <t>INTMUR7FZX39J</t>
        </is>
      </c>
      <c r="B89" t="inlineStr">
        <is>
          <t>ZAPATA</t>
        </is>
      </c>
      <c r="C89" t="inlineStr"/>
      <c r="D89" t="inlineStr"/>
      <c r="E89" t="n">
        <v>77</v>
      </c>
      <c r="F89" t="n">
        <v>17</v>
      </c>
      <c r="G89" t="n">
        <v>60</v>
      </c>
      <c r="H89" t="inlineStr">
        <is>
          <t>ZAPATA — INTMUR7FZX39J</t>
        </is>
      </c>
    </row>
    <row r="90">
      <c r="A90" t="inlineStr">
        <is>
          <t>PH06430-0023</t>
        </is>
      </c>
      <c r="B90" t="inlineStr">
        <is>
          <t>zapata de Freno</t>
        </is>
      </c>
      <c r="C90" t="inlineStr"/>
      <c r="D90" t="inlineStr"/>
      <c r="E90" t="n">
        <v>4</v>
      </c>
      <c r="F90" t="n">
        <v>0</v>
      </c>
      <c r="G90" t="n">
        <v>4</v>
      </c>
      <c r="H90" t="inlineStr">
        <is>
          <t>zapata de Freno — PH06430-0023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3" customWidth="1" min="3" max="3"/>
    <col width="10" customWidth="1" min="4" max="4"/>
    <col width="11" customWidth="1" min="5" max="5"/>
    <col width="26" customWidth="1" min="6" max="6"/>
    <col width="24" customWidth="1" min="7" max="7"/>
    <col width="20" customWidth="1" min="8" max="8"/>
    <col width="14" customWidth="1" min="9" max="9"/>
  </cols>
  <sheetData>
    <row r="1" ht="34" customHeight="1">
      <c r="A1" s="3" t="inlineStr">
        <is>
          <t>Código</t>
        </is>
      </c>
      <c r="B1" s="3" t="inlineStr">
        <is>
          <t>Producto</t>
        </is>
      </c>
      <c r="C1" s="3" t="inlineStr">
        <is>
          <t>Fecha</t>
        </is>
      </c>
      <c r="D1" s="3" t="inlineStr">
        <is>
          <t>Tipo</t>
        </is>
      </c>
      <c r="E1" s="3" t="inlineStr">
        <is>
          <t>Cantidad</t>
        </is>
      </c>
      <c r="F1" s="3" t="inlineStr">
        <is>
          <t>Proveedor / Entregado a</t>
        </is>
      </c>
      <c r="G1" s="3" t="inlineStr">
        <is>
          <t>N° Factura / Propósito</t>
        </is>
      </c>
      <c r="H1" s="3" t="inlineStr">
        <is>
          <t>Usuario</t>
        </is>
      </c>
      <c r="I1" s="3" t="inlineStr">
        <is>
          <t>Saldo después de este movimiento</t>
        </is>
      </c>
    </row>
    <row r="2">
      <c r="A2" s="6" t="inlineStr">
        <is>
          <t>067</t>
        </is>
      </c>
      <c r="B2" s="6" t="inlineStr">
        <is>
          <t>ACCESORIO BOTÓN PRENDE Y APAGA 2CABLE</t>
        </is>
      </c>
      <c r="C2" s="6" t="inlineStr">
        <is>
          <t>2026-09-19</t>
        </is>
      </c>
      <c r="D2" s="6" t="inlineStr">
        <is>
          <t>Entrada</t>
        </is>
      </c>
      <c r="E2" s="6" t="n">
        <v>70</v>
      </c>
      <c r="F2" s="6" t="inlineStr"/>
      <c r="G2" s="6" t="inlineStr">
        <is>
          <t>371</t>
        </is>
      </c>
      <c r="H2" s="6" t="inlineStr">
        <is>
          <t>Administrador del Sistema</t>
        </is>
      </c>
      <c r="I2" s="6" t="n">
        <v>70</v>
      </c>
    </row>
    <row r="3">
      <c r="A3" s="6" t="inlineStr">
        <is>
          <t>068</t>
        </is>
      </c>
      <c r="B3" s="6" t="inlineStr">
        <is>
          <t>AMORTIGUADOR GN125 POSTERIOR</t>
        </is>
      </c>
      <c r="C3" s="6" t="inlineStr">
        <is>
          <t>2026-09-19</t>
        </is>
      </c>
      <c r="D3" s="6" t="inlineStr">
        <is>
          <t>Entrada</t>
        </is>
      </c>
      <c r="E3" s="6" t="n">
        <v>29</v>
      </c>
      <c r="F3" s="6" t="inlineStr"/>
      <c r="G3" s="6" t="inlineStr">
        <is>
          <t>731</t>
        </is>
      </c>
      <c r="H3" s="6" t="inlineStr">
        <is>
          <t>Administrador del Sistema</t>
        </is>
      </c>
      <c r="I3" s="6" t="n">
        <v>29</v>
      </c>
    </row>
    <row r="4">
      <c r="A4" s="6" t="inlineStr">
        <is>
          <t>041</t>
        </is>
      </c>
      <c r="B4" s="6" t="inlineStr">
        <is>
          <t>ANILLO DE FUEGO</t>
        </is>
      </c>
      <c r="C4" s="6" t="inlineStr">
        <is>
          <t>2026-09-19</t>
        </is>
      </c>
      <c r="D4" s="6" t="inlineStr">
        <is>
          <t>Entrada</t>
        </is>
      </c>
      <c r="E4" s="6" t="n">
        <v>104</v>
      </c>
      <c r="F4" s="6" t="inlineStr"/>
      <c r="G4" s="6" t="inlineStr"/>
      <c r="H4" s="6" t="inlineStr">
        <is>
          <t>Administrador del Sistema</t>
        </is>
      </c>
      <c r="I4" s="6" t="n">
        <v>104</v>
      </c>
    </row>
    <row r="5">
      <c r="A5" s="10" t="inlineStr">
        <is>
          <t>041</t>
        </is>
      </c>
      <c r="B5" s="10" t="inlineStr">
        <is>
          <t>ANILLO DE FUEGO</t>
        </is>
      </c>
      <c r="C5" s="10" t="inlineStr">
        <is>
          <t>2026-09-26</t>
        </is>
      </c>
      <c r="D5" s="10" t="inlineStr">
        <is>
          <t>Salida</t>
        </is>
      </c>
      <c r="E5" s="10" t="n">
        <v>5</v>
      </c>
      <c r="F5" s="10" t="inlineStr">
        <is>
          <t xml:space="preserve">Coordinador Bone </t>
        </is>
      </c>
      <c r="G5" s="10" t="inlineStr">
        <is>
          <t>Taura c</t>
        </is>
      </c>
      <c r="H5" s="10" t="inlineStr">
        <is>
          <t>Bodega Durán</t>
        </is>
      </c>
      <c r="I5" s="10" t="n">
        <v>99</v>
      </c>
    </row>
    <row r="6">
      <c r="A6" s="6" t="inlineStr">
        <is>
          <t>069</t>
        </is>
      </c>
      <c r="B6" s="6" t="inlineStr">
        <is>
          <t>ARO POST GN 125 REFORZADO</t>
        </is>
      </c>
      <c r="C6" s="6" t="inlineStr">
        <is>
          <t>2026-09-19</t>
        </is>
      </c>
      <c r="D6" s="6" t="inlineStr">
        <is>
          <t>Entrada</t>
        </is>
      </c>
      <c r="E6" s="6" t="n">
        <v>4</v>
      </c>
      <c r="F6" s="6" t="inlineStr"/>
      <c r="G6" s="6" t="inlineStr"/>
      <c r="H6" s="6" t="inlineStr">
        <is>
          <t>Administrador del Sistema</t>
        </is>
      </c>
      <c r="I6" s="6" t="n">
        <v>4</v>
      </c>
    </row>
    <row r="7">
      <c r="A7" s="6" t="inlineStr">
        <is>
          <t>069</t>
        </is>
      </c>
      <c r="B7" s="6" t="inlineStr">
        <is>
          <t>ARO POST GN 125 REFORZADO</t>
        </is>
      </c>
      <c r="C7" s="6" t="inlineStr">
        <is>
          <t>2026-09-19</t>
        </is>
      </c>
      <c r="D7" s="6" t="inlineStr">
        <is>
          <t>Entrada</t>
        </is>
      </c>
      <c r="E7" s="6" t="n">
        <v>8</v>
      </c>
      <c r="F7" s="6" t="inlineStr"/>
      <c r="G7" s="6" t="inlineStr">
        <is>
          <t>731</t>
        </is>
      </c>
      <c r="H7" s="6" t="inlineStr">
        <is>
          <t>Administrador del Sistema</t>
        </is>
      </c>
      <c r="I7" s="6" t="n">
        <v>12</v>
      </c>
    </row>
    <row r="8">
      <c r="A8" s="6" t="inlineStr">
        <is>
          <t>069</t>
        </is>
      </c>
      <c r="B8" s="6" t="inlineStr">
        <is>
          <t>ARO POST GN 125 REFORZADO</t>
        </is>
      </c>
      <c r="C8" s="6" t="inlineStr">
        <is>
          <t>2026-09-19</t>
        </is>
      </c>
      <c r="D8" s="6" t="inlineStr">
        <is>
          <t>Entrada</t>
        </is>
      </c>
      <c r="E8" s="6" t="n">
        <v>3</v>
      </c>
      <c r="F8" s="6" t="inlineStr"/>
      <c r="G8" s="6" t="inlineStr"/>
      <c r="H8" s="6" t="inlineStr">
        <is>
          <t>Administrador del Sistema</t>
        </is>
      </c>
      <c r="I8" s="6" t="n">
        <v>15</v>
      </c>
    </row>
    <row r="9">
      <c r="A9" s="6" t="inlineStr">
        <is>
          <t>071</t>
        </is>
      </c>
      <c r="B9" s="6" t="inlineStr">
        <is>
          <t>AUTOMÁTICO GN 125 SIN CABLE</t>
        </is>
      </c>
      <c r="C9" s="6" t="inlineStr">
        <is>
          <t>2026-09-19</t>
        </is>
      </c>
      <c r="D9" s="6" t="inlineStr">
        <is>
          <t>Entrada</t>
        </is>
      </c>
      <c r="E9" s="6" t="n">
        <v>35</v>
      </c>
      <c r="F9" s="6" t="inlineStr"/>
      <c r="G9" s="6" t="inlineStr">
        <is>
          <t>371</t>
        </is>
      </c>
      <c r="H9" s="6" t="inlineStr">
        <is>
          <t>Administrador del Sistema</t>
        </is>
      </c>
      <c r="I9" s="6" t="n">
        <v>35</v>
      </c>
    </row>
    <row r="10">
      <c r="A10" s="6" t="inlineStr">
        <is>
          <t>073</t>
        </is>
      </c>
      <c r="B10" s="6" t="inlineStr">
        <is>
          <t>BARRA TELESCÓPICA GN125 NOVA</t>
        </is>
      </c>
      <c r="C10" s="6" t="inlineStr">
        <is>
          <t>2026-09-19</t>
        </is>
      </c>
      <c r="D10" s="6" t="inlineStr">
        <is>
          <t>Entrada</t>
        </is>
      </c>
      <c r="E10" s="6" t="n">
        <v>4</v>
      </c>
      <c r="F10" s="6" t="inlineStr"/>
      <c r="G10" s="6" t="inlineStr">
        <is>
          <t>371</t>
        </is>
      </c>
      <c r="H10" s="6" t="inlineStr">
        <is>
          <t>Administrador del Sistema</t>
        </is>
      </c>
      <c r="I10" s="6" t="n">
        <v>4</v>
      </c>
    </row>
    <row r="11">
      <c r="A11" s="6" t="inlineStr">
        <is>
          <t>073</t>
        </is>
      </c>
      <c r="B11" s="6" t="inlineStr">
        <is>
          <t>BARRA TELESCÓPICA GN125 NOVA</t>
        </is>
      </c>
      <c r="C11" s="6" t="inlineStr">
        <is>
          <t>2026-09-19</t>
        </is>
      </c>
      <c r="D11" s="6" t="inlineStr">
        <is>
          <t>Entrada</t>
        </is>
      </c>
      <c r="E11" s="6" t="n">
        <v>23</v>
      </c>
      <c r="F11" s="6" t="inlineStr"/>
      <c r="G11" s="6" t="inlineStr"/>
      <c r="H11" s="6" t="inlineStr">
        <is>
          <t>Administrador del Sistema</t>
        </is>
      </c>
      <c r="I11" s="6" t="n">
        <v>27</v>
      </c>
    </row>
    <row r="12">
      <c r="A12" s="6" t="inlineStr">
        <is>
          <t>076</t>
        </is>
      </c>
      <c r="B12" s="6" t="inlineStr">
        <is>
          <t>BATERIA</t>
        </is>
      </c>
      <c r="C12" s="6" t="inlineStr">
        <is>
          <t>2026-09-19</t>
        </is>
      </c>
      <c r="D12" s="6" t="inlineStr">
        <is>
          <t>Entrada</t>
        </is>
      </c>
      <c r="E12" s="6" t="n">
        <v>29</v>
      </c>
      <c r="F12" s="6" t="inlineStr"/>
      <c r="G12" s="6" t="inlineStr">
        <is>
          <t>731</t>
        </is>
      </c>
      <c r="H12" s="6" t="inlineStr">
        <is>
          <t>Administrador del Sistema</t>
        </is>
      </c>
      <c r="I12" s="6" t="n">
        <v>29</v>
      </c>
    </row>
    <row r="13">
      <c r="A13" s="6" t="inlineStr">
        <is>
          <t>074</t>
        </is>
      </c>
      <c r="B13" s="6" t="inlineStr">
        <is>
          <t>BENDIX</t>
        </is>
      </c>
      <c r="C13" s="6" t="inlineStr">
        <is>
          <t>2026-09-19</t>
        </is>
      </c>
      <c r="D13" s="6" t="inlineStr">
        <is>
          <t>Entrada</t>
        </is>
      </c>
      <c r="E13" s="6" t="n">
        <v>30</v>
      </c>
      <c r="F13" s="6" t="inlineStr"/>
      <c r="G13" s="6" t="inlineStr">
        <is>
          <t>431</t>
        </is>
      </c>
      <c r="H13" s="6" t="inlineStr">
        <is>
          <t>Administrador del Sistema</t>
        </is>
      </c>
      <c r="I13" s="6" t="n">
        <v>30</v>
      </c>
    </row>
    <row r="14">
      <c r="A14" s="6" t="inlineStr">
        <is>
          <t>045</t>
        </is>
      </c>
      <c r="B14" s="6" t="inlineStr">
        <is>
          <t>BOBINA DE BUJIA</t>
        </is>
      </c>
      <c r="C14" s="6" t="inlineStr">
        <is>
          <t>2026-09-19</t>
        </is>
      </c>
      <c r="D14" s="6" t="inlineStr">
        <is>
          <t>Entrada</t>
        </is>
      </c>
      <c r="E14" s="6" t="n">
        <v>25</v>
      </c>
      <c r="F14" s="6" t="inlineStr"/>
      <c r="G14" s="6" t="inlineStr"/>
      <c r="H14" s="6" t="inlineStr">
        <is>
          <t>Administrador del Sistema</t>
        </is>
      </c>
      <c r="I14" s="6" t="n">
        <v>25</v>
      </c>
    </row>
    <row r="15">
      <c r="A15" s="6" t="inlineStr">
        <is>
          <t>031</t>
        </is>
      </c>
      <c r="B15" s="6" t="inlineStr">
        <is>
          <t>BOBINA DE CAMPO</t>
        </is>
      </c>
      <c r="C15" s="6" t="inlineStr">
        <is>
          <t>2026-09-19</t>
        </is>
      </c>
      <c r="D15" s="6" t="inlineStr">
        <is>
          <t>Entrada</t>
        </is>
      </c>
      <c r="E15" s="6" t="n">
        <v>25</v>
      </c>
      <c r="F15" s="6" t="inlineStr"/>
      <c r="G15" s="6" t="inlineStr">
        <is>
          <t>731</t>
        </is>
      </c>
      <c r="H15" s="6" t="inlineStr">
        <is>
          <t>Administrador del Sistema</t>
        </is>
      </c>
      <c r="I15" s="6" t="n">
        <v>25</v>
      </c>
    </row>
    <row r="16">
      <c r="A16" s="6" t="inlineStr">
        <is>
          <t>031</t>
        </is>
      </c>
      <c r="B16" s="6" t="inlineStr">
        <is>
          <t>BOBINA DE CAMPO</t>
        </is>
      </c>
      <c r="C16" s="6" t="inlineStr">
        <is>
          <t>2026-09-19</t>
        </is>
      </c>
      <c r="D16" s="6" t="inlineStr">
        <is>
          <t>Entrada</t>
        </is>
      </c>
      <c r="E16" s="6" t="n">
        <v>10</v>
      </c>
      <c r="F16" s="6" t="inlineStr"/>
      <c r="G16" s="6" t="inlineStr"/>
      <c r="H16" s="6" t="inlineStr">
        <is>
          <t>Administrador del Sistema</t>
        </is>
      </c>
      <c r="I16" s="6" t="n">
        <v>35</v>
      </c>
    </row>
    <row r="17">
      <c r="A17" s="10" t="inlineStr">
        <is>
          <t>031</t>
        </is>
      </c>
      <c r="B17" s="10" t="inlineStr">
        <is>
          <t>BOBINA DE CAMPO</t>
        </is>
      </c>
      <c r="C17" s="10" t="inlineStr">
        <is>
          <t>2026-09-26</t>
        </is>
      </c>
      <c r="D17" s="10" t="inlineStr">
        <is>
          <t>Salida</t>
        </is>
      </c>
      <c r="E17" s="10" t="n">
        <v>2</v>
      </c>
      <c r="F17" s="10" t="inlineStr">
        <is>
          <t xml:space="preserve">Coordinador Bone </t>
        </is>
      </c>
      <c r="G17" s="10" t="inlineStr">
        <is>
          <t>Taura c</t>
        </is>
      </c>
      <c r="H17" s="10" t="inlineStr">
        <is>
          <t>Bodega Durán</t>
        </is>
      </c>
      <c r="I17" s="10" t="n">
        <v>33</v>
      </c>
    </row>
    <row r="18">
      <c r="A18" s="6" t="inlineStr">
        <is>
          <t>0075</t>
        </is>
      </c>
      <c r="B18" s="6" t="inlineStr">
        <is>
          <t>BOCÍN CENTRAL GN125</t>
        </is>
      </c>
      <c r="C18" s="6" t="inlineStr">
        <is>
          <t>2026-09-19</t>
        </is>
      </c>
      <c r="D18" s="6" t="inlineStr">
        <is>
          <t>Entrada</t>
        </is>
      </c>
      <c r="E18" s="6" t="n">
        <v>80</v>
      </c>
      <c r="F18" s="6" t="inlineStr"/>
      <c r="G18" s="6" t="inlineStr">
        <is>
          <t>371</t>
        </is>
      </c>
      <c r="H18" s="6" t="inlineStr">
        <is>
          <t>Administrador del Sistema</t>
        </is>
      </c>
      <c r="I18" s="6" t="n">
        <v>80</v>
      </c>
    </row>
    <row r="19">
      <c r="A19" s="6" t="inlineStr">
        <is>
          <t>730143313377</t>
        </is>
      </c>
      <c r="B19" s="6" t="inlineStr">
        <is>
          <t>borrar amd</t>
        </is>
      </c>
      <c r="C19" s="6" t="inlineStr">
        <is>
          <t>2026-09-29</t>
        </is>
      </c>
      <c r="D19" s="6" t="inlineStr">
        <is>
          <t>Entrada</t>
        </is>
      </c>
      <c r="E19" s="6" t="n">
        <v>3</v>
      </c>
      <c r="F19" s="6" t="inlineStr">
        <is>
          <t>Conteo físico</t>
        </is>
      </c>
      <c r="G19" s="6" t="inlineStr"/>
      <c r="H19" s="6" t="inlineStr">
        <is>
          <t>Administrador del Sistema</t>
        </is>
      </c>
      <c r="I19" s="6" t="n">
        <v>3</v>
      </c>
    </row>
    <row r="20">
      <c r="A20" s="6" t="inlineStr">
        <is>
          <t>813002010089</t>
        </is>
      </c>
      <c r="B20" s="6" t="inlineStr">
        <is>
          <t>borrar pilas</t>
        </is>
      </c>
      <c r="C20" s="6" t="inlineStr">
        <is>
          <t>2026-09-30</t>
        </is>
      </c>
      <c r="D20" s="6" t="inlineStr">
        <is>
          <t>Entrada</t>
        </is>
      </c>
      <c r="E20" s="6" t="n">
        <v>5</v>
      </c>
      <c r="F20" s="6" t="inlineStr">
        <is>
          <t>Conteo físico</t>
        </is>
      </c>
      <c r="G20" s="6" t="inlineStr"/>
      <c r="H20" s="6" t="inlineStr">
        <is>
          <t>Administrador del Sistema</t>
        </is>
      </c>
      <c r="I20" s="6" t="n">
        <v>5</v>
      </c>
    </row>
    <row r="21">
      <c r="A21" s="6" t="inlineStr">
        <is>
          <t>6935364085476</t>
        </is>
      </c>
      <c r="B21" s="6" t="inlineStr">
        <is>
          <t>borrar tplink</t>
        </is>
      </c>
      <c r="C21" s="6" t="inlineStr">
        <is>
          <t>2026-09-30</t>
        </is>
      </c>
      <c r="D21" s="6" t="inlineStr">
        <is>
          <t>Entrada</t>
        </is>
      </c>
      <c r="E21" s="6" t="n">
        <v>5</v>
      </c>
      <c r="F21" s="6" t="inlineStr">
        <is>
          <t>Conteo físico</t>
        </is>
      </c>
      <c r="G21" s="6" t="inlineStr"/>
      <c r="H21" s="6" t="inlineStr">
        <is>
          <t>Administrador del Sistema</t>
        </is>
      </c>
      <c r="I21" s="6" t="n">
        <v>5</v>
      </c>
    </row>
    <row r="22">
      <c r="A22" s="6" t="inlineStr">
        <is>
          <t>062</t>
        </is>
      </c>
      <c r="B22" s="6" t="inlineStr">
        <is>
          <t>BUJIAS</t>
        </is>
      </c>
      <c r="C22" s="6" t="inlineStr">
        <is>
          <t>2026-09-19</t>
        </is>
      </c>
      <c r="D22" s="6" t="inlineStr">
        <is>
          <t>Entrada</t>
        </is>
      </c>
      <c r="E22" s="6" t="n">
        <v>100</v>
      </c>
      <c r="F22" s="6" t="inlineStr"/>
      <c r="G22" s="6" t="inlineStr">
        <is>
          <t>371</t>
        </is>
      </c>
      <c r="H22" s="6" t="inlineStr">
        <is>
          <t>Administrador del Sistema</t>
        </is>
      </c>
      <c r="I22" s="6" t="n">
        <v>100</v>
      </c>
    </row>
    <row r="23">
      <c r="A23" s="6" t="inlineStr">
        <is>
          <t>082</t>
        </is>
      </c>
      <c r="B23" s="6" t="inlineStr">
        <is>
          <t>CABEZOTE COMPLETO GN125</t>
        </is>
      </c>
      <c r="C23" s="6" t="inlineStr">
        <is>
          <t>2026-09-19</t>
        </is>
      </c>
      <c r="D23" s="6" t="inlineStr">
        <is>
          <t>Entrada</t>
        </is>
      </c>
      <c r="E23" s="6" t="n">
        <v>13</v>
      </c>
      <c r="F23" s="6" t="inlineStr"/>
      <c r="G23" s="6" t="inlineStr">
        <is>
          <t>371</t>
        </is>
      </c>
      <c r="H23" s="6" t="inlineStr">
        <is>
          <t>Administrador del Sistema</t>
        </is>
      </c>
      <c r="I23" s="6" t="n">
        <v>13</v>
      </c>
    </row>
    <row r="24">
      <c r="A24" s="10" t="inlineStr">
        <is>
          <t>078</t>
        </is>
      </c>
      <c r="B24" s="10" t="inlineStr">
        <is>
          <t>CABLE DE EMBRAGUE GN125</t>
        </is>
      </c>
      <c r="C24" s="10" t="inlineStr">
        <is>
          <t>2026-09-19</t>
        </is>
      </c>
      <c r="D24" s="10" t="inlineStr">
        <is>
          <t>Salida</t>
        </is>
      </c>
      <c r="E24" s="10" t="n">
        <v>3</v>
      </c>
      <c r="F24" s="10" t="inlineStr">
        <is>
          <t>Coordinador Ronald Mayorga</t>
        </is>
      </c>
      <c r="G24" s="10" t="inlineStr">
        <is>
          <t>Mantenimientos de motos</t>
        </is>
      </c>
      <c r="H24" s="10" t="inlineStr">
        <is>
          <t>Administrador del Sistema</t>
        </is>
      </c>
      <c r="I24" s="10" t="n">
        <v>-3</v>
      </c>
    </row>
    <row r="25">
      <c r="A25" s="6" t="inlineStr">
        <is>
          <t>078</t>
        </is>
      </c>
      <c r="B25" s="6" t="inlineStr">
        <is>
          <t>CABLE DE EMBRAGUE GN125</t>
        </is>
      </c>
      <c r="C25" s="6" t="inlineStr">
        <is>
          <t>2026-09-19</t>
        </is>
      </c>
      <c r="D25" s="6" t="inlineStr">
        <is>
          <t>Entrada</t>
        </is>
      </c>
      <c r="E25" s="6" t="n">
        <v>100</v>
      </c>
      <c r="F25" s="6" t="inlineStr"/>
      <c r="G25" s="6" t="inlineStr">
        <is>
          <t>371</t>
        </is>
      </c>
      <c r="H25" s="6" t="inlineStr">
        <is>
          <t>Administrador del Sistema</t>
        </is>
      </c>
      <c r="I25" s="6" t="n">
        <v>97</v>
      </c>
    </row>
    <row r="26">
      <c r="A26" s="6" t="inlineStr">
        <is>
          <t>078</t>
        </is>
      </c>
      <c r="B26" s="6" t="inlineStr">
        <is>
          <t>CABLE DE EMBRAGUE GN125</t>
        </is>
      </c>
      <c r="C26" s="6" t="inlineStr">
        <is>
          <t>2026-09-19</t>
        </is>
      </c>
      <c r="D26" s="6" t="inlineStr">
        <is>
          <t>Entrada</t>
        </is>
      </c>
      <c r="E26" s="6" t="n">
        <v>22</v>
      </c>
      <c r="F26" s="6" t="inlineStr">
        <is>
          <t>bodeg</t>
        </is>
      </c>
      <c r="G26" s="6" t="inlineStr"/>
      <c r="H26" s="6" t="inlineStr">
        <is>
          <t>Administrador del Sistema</t>
        </is>
      </c>
      <c r="I26" s="6" t="n">
        <v>119</v>
      </c>
    </row>
    <row r="27">
      <c r="A27" s="6" t="inlineStr">
        <is>
          <t>037</t>
        </is>
      </c>
      <c r="B27" s="6" t="inlineStr">
        <is>
          <t>CABLE DE VELOCIDAD</t>
        </is>
      </c>
      <c r="C27" s="6" t="inlineStr">
        <is>
          <t>2026-09-19</t>
        </is>
      </c>
      <c r="D27" s="6" t="inlineStr">
        <is>
          <t>Entrada</t>
        </is>
      </c>
      <c r="E27" s="6" t="n">
        <v>30</v>
      </c>
      <c r="F27" s="6" t="inlineStr"/>
      <c r="G27" s="6" t="inlineStr"/>
      <c r="H27" s="6" t="inlineStr">
        <is>
          <t>Administrador del Sistema</t>
        </is>
      </c>
      <c r="I27" s="6" t="n">
        <v>30</v>
      </c>
    </row>
    <row r="28">
      <c r="A28" s="10" t="inlineStr">
        <is>
          <t>077</t>
        </is>
      </c>
      <c r="B28" s="10" t="inlineStr">
        <is>
          <t>CACHIMBA SOLA CG125</t>
        </is>
      </c>
      <c r="C28" s="10" t="inlineStr">
        <is>
          <t>2026-09-19</t>
        </is>
      </c>
      <c r="D28" s="10" t="inlineStr">
        <is>
          <t>Salida</t>
        </is>
      </c>
      <c r="E28" s="10" t="n">
        <v>2</v>
      </c>
      <c r="F28" s="10" t="inlineStr">
        <is>
          <t>Coordinador Ronald Mayorga</t>
        </is>
      </c>
      <c r="G28" s="10" t="inlineStr">
        <is>
          <t>Mantenimientos de motos</t>
        </is>
      </c>
      <c r="H28" s="10" t="inlineStr">
        <is>
          <t>Administrador del Sistema</t>
        </is>
      </c>
      <c r="I28" s="10" t="n">
        <v>-2</v>
      </c>
    </row>
    <row r="29">
      <c r="A29" s="6" t="inlineStr">
        <is>
          <t>077</t>
        </is>
      </c>
      <c r="B29" s="6" t="inlineStr">
        <is>
          <t>CACHIMBA SOLA CG125</t>
        </is>
      </c>
      <c r="C29" s="6" t="inlineStr">
        <is>
          <t>2026-09-19</t>
        </is>
      </c>
      <c r="D29" s="6" t="inlineStr">
        <is>
          <t>Entrada</t>
        </is>
      </c>
      <c r="E29" s="6" t="n">
        <v>50</v>
      </c>
      <c r="F29" s="6" t="inlineStr"/>
      <c r="G29" s="6" t="inlineStr">
        <is>
          <t>731</t>
        </is>
      </c>
      <c r="H29" s="6" t="inlineStr">
        <is>
          <t>Administrador del Sistema</t>
        </is>
      </c>
      <c r="I29" s="6" t="n">
        <v>48</v>
      </c>
    </row>
    <row r="30">
      <c r="A30" s="10" t="inlineStr">
        <is>
          <t>080</t>
        </is>
      </c>
      <c r="B30" s="10" t="inlineStr">
        <is>
          <t>CADENA 428H-132L</t>
        </is>
      </c>
      <c r="C30" s="10" t="inlineStr">
        <is>
          <t>2026-09-19</t>
        </is>
      </c>
      <c r="D30" s="10" t="inlineStr">
        <is>
          <t>Salida</t>
        </is>
      </c>
      <c r="E30" s="10" t="n">
        <v>3</v>
      </c>
      <c r="F30" s="10" t="inlineStr">
        <is>
          <t>Coor Mayorga/Tecnico Toala</t>
        </is>
      </c>
      <c r="G30" s="10" t="inlineStr">
        <is>
          <t>Corvinero</t>
        </is>
      </c>
      <c r="H30" s="10" t="inlineStr">
        <is>
          <t>Administrador del Sistema</t>
        </is>
      </c>
      <c r="I30" s="10" t="n">
        <v>-3</v>
      </c>
    </row>
    <row r="31">
      <c r="A31" s="6" t="inlineStr">
        <is>
          <t>080</t>
        </is>
      </c>
      <c r="B31" s="6" t="inlineStr">
        <is>
          <t>CADENA 428H-132L</t>
        </is>
      </c>
      <c r="C31" s="6" t="inlineStr">
        <is>
          <t>2026-09-19</t>
        </is>
      </c>
      <c r="D31" s="6" t="inlineStr">
        <is>
          <t>Entrada</t>
        </is>
      </c>
      <c r="E31" s="6" t="n">
        <v>73</v>
      </c>
      <c r="F31" s="6" t="inlineStr"/>
      <c r="G31" s="6" t="inlineStr">
        <is>
          <t>371</t>
        </is>
      </c>
      <c r="H31" s="6" t="inlineStr">
        <is>
          <t>Administrador del Sistema</t>
        </is>
      </c>
      <c r="I31" s="6" t="n">
        <v>70</v>
      </c>
    </row>
    <row r="32">
      <c r="A32" s="6" t="inlineStr">
        <is>
          <t>046</t>
        </is>
      </c>
      <c r="B32" s="6" t="inlineStr">
        <is>
          <t>CADENILLA DE MOTOR</t>
        </is>
      </c>
      <c r="C32" s="6" t="inlineStr">
        <is>
          <t>2026-09-19</t>
        </is>
      </c>
      <c r="D32" s="6" t="inlineStr">
        <is>
          <t>Entrada</t>
        </is>
      </c>
      <c r="E32" s="6" t="n">
        <v>30</v>
      </c>
      <c r="F32" s="6" t="inlineStr"/>
      <c r="G32" s="6" t="inlineStr"/>
      <c r="H32" s="6" t="inlineStr">
        <is>
          <t>Administrador del Sistema</t>
        </is>
      </c>
      <c r="I32" s="6" t="n">
        <v>30</v>
      </c>
    </row>
    <row r="33">
      <c r="A33" s="10" t="inlineStr">
        <is>
          <t>046</t>
        </is>
      </c>
      <c r="B33" s="10" t="inlineStr">
        <is>
          <t>CADENILLA DE MOTOR</t>
        </is>
      </c>
      <c r="C33" s="10" t="inlineStr">
        <is>
          <t>2026-09-19</t>
        </is>
      </c>
      <c r="D33" s="10" t="inlineStr">
        <is>
          <t>Salida</t>
        </is>
      </c>
      <c r="E33" s="10" t="n">
        <v>5</v>
      </c>
      <c r="F33" s="10" t="inlineStr">
        <is>
          <t>Coordinador Ronald Mayorga</t>
        </is>
      </c>
      <c r="G33" s="10" t="inlineStr">
        <is>
          <t>Mantenimientos de motos</t>
        </is>
      </c>
      <c r="H33" s="10" t="inlineStr">
        <is>
          <t>Administrador del Sistema</t>
        </is>
      </c>
      <c r="I33" s="10" t="n">
        <v>25</v>
      </c>
    </row>
    <row r="34">
      <c r="A34" s="10" t="inlineStr">
        <is>
          <t>046</t>
        </is>
      </c>
      <c r="B34" s="10" t="inlineStr">
        <is>
          <t>CADENILLA DE MOTOR</t>
        </is>
      </c>
      <c r="C34" s="10" t="inlineStr">
        <is>
          <t>2026-09-26</t>
        </is>
      </c>
      <c r="D34" s="10" t="inlineStr">
        <is>
          <t>Salida</t>
        </is>
      </c>
      <c r="E34" s="10" t="n">
        <v>2</v>
      </c>
      <c r="F34" s="10" t="inlineStr">
        <is>
          <t xml:space="preserve">Coordinador Bone </t>
        </is>
      </c>
      <c r="G34" s="10" t="inlineStr">
        <is>
          <t>Taura c</t>
        </is>
      </c>
      <c r="H34" s="10" t="inlineStr">
        <is>
          <t>Bodega Durán</t>
        </is>
      </c>
      <c r="I34" s="10" t="n">
        <v>23</v>
      </c>
    </row>
    <row r="35">
      <c r="A35" s="10" t="inlineStr">
        <is>
          <t>081</t>
        </is>
      </c>
      <c r="B35" s="10" t="inlineStr">
        <is>
          <t>CATALINA ACERO PULIDO GN125</t>
        </is>
      </c>
      <c r="C35" s="10" t="inlineStr">
        <is>
          <t>2026-09-19</t>
        </is>
      </c>
      <c r="D35" s="10" t="inlineStr">
        <is>
          <t>Salida</t>
        </is>
      </c>
      <c r="E35" s="10" t="n">
        <v>3</v>
      </c>
      <c r="F35" s="10" t="inlineStr">
        <is>
          <t>Coordinador Ronald Mayorga</t>
        </is>
      </c>
      <c r="G35" s="10" t="inlineStr">
        <is>
          <t>Mantenimientos de motos</t>
        </is>
      </c>
      <c r="H35" s="10" t="inlineStr">
        <is>
          <t>Administrador del Sistema</t>
        </is>
      </c>
      <c r="I35" s="10" t="n">
        <v>-3</v>
      </c>
    </row>
    <row r="36">
      <c r="A36" s="6" t="inlineStr">
        <is>
          <t>081</t>
        </is>
      </c>
      <c r="B36" s="6" t="inlineStr">
        <is>
          <t>CATALINA ACERO PULIDO GN125</t>
        </is>
      </c>
      <c r="C36" s="6" t="inlineStr">
        <is>
          <t>2026-09-19</t>
        </is>
      </c>
      <c r="D36" s="6" t="inlineStr">
        <is>
          <t>Entrada</t>
        </is>
      </c>
      <c r="E36" s="6" t="n">
        <v>73</v>
      </c>
      <c r="F36" s="6" t="inlineStr"/>
      <c r="G36" s="6" t="inlineStr">
        <is>
          <t>371</t>
        </is>
      </c>
      <c r="H36" s="6" t="inlineStr">
        <is>
          <t>Administrador del Sistema</t>
        </is>
      </c>
      <c r="I36" s="6" t="n">
        <v>70</v>
      </c>
    </row>
    <row r="37">
      <c r="A37" s="6" t="inlineStr">
        <is>
          <t>070</t>
        </is>
      </c>
      <c r="B37" s="6" t="inlineStr">
        <is>
          <t>CAUCHO DE TANQUE GN</t>
        </is>
      </c>
      <c r="C37" s="6" t="inlineStr">
        <is>
          <t>2026-09-19</t>
        </is>
      </c>
      <c r="D37" s="6" t="inlineStr">
        <is>
          <t>Entrada</t>
        </is>
      </c>
      <c r="E37" s="6" t="n">
        <v>50</v>
      </c>
      <c r="F37" s="6" t="inlineStr"/>
      <c r="G37" s="6" t="inlineStr">
        <is>
          <t>731</t>
        </is>
      </c>
      <c r="H37" s="6" t="inlineStr">
        <is>
          <t>Administrador del Sistema</t>
        </is>
      </c>
      <c r="I37" s="6" t="n">
        <v>50</v>
      </c>
    </row>
    <row r="38">
      <c r="A38" s="6" t="inlineStr">
        <is>
          <t>079</t>
        </is>
      </c>
      <c r="B38" s="6" t="inlineStr">
        <is>
          <t>CAUCHO DE VALVULAS</t>
        </is>
      </c>
      <c r="C38" s="6" t="inlineStr">
        <is>
          <t>2026-09-19</t>
        </is>
      </c>
      <c r="D38" s="6" t="inlineStr">
        <is>
          <t>Entrada</t>
        </is>
      </c>
      <c r="E38" s="6" t="n">
        <v>30</v>
      </c>
      <c r="F38" s="6" t="inlineStr"/>
      <c r="G38" s="6" t="inlineStr">
        <is>
          <t>431</t>
        </is>
      </c>
      <c r="H38" s="6" t="inlineStr">
        <is>
          <t>Administrador del Sistema</t>
        </is>
      </c>
      <c r="I38" s="6" t="n">
        <v>30</v>
      </c>
    </row>
    <row r="39">
      <c r="A39" s="10" t="inlineStr">
        <is>
          <t>079</t>
        </is>
      </c>
      <c r="B39" s="10" t="inlineStr">
        <is>
          <t>CAUCHO DE VALVULAS</t>
        </is>
      </c>
      <c r="C39" s="10" t="inlineStr">
        <is>
          <t>2026-09-26</t>
        </is>
      </c>
      <c r="D39" s="10" t="inlineStr">
        <is>
          <t>Salida</t>
        </is>
      </c>
      <c r="E39" s="10" t="n">
        <v>5</v>
      </c>
      <c r="F39" s="10" t="inlineStr">
        <is>
          <t xml:space="preserve">Coordinador Bone </t>
        </is>
      </c>
      <c r="G39" s="10" t="inlineStr">
        <is>
          <t>Taura c</t>
        </is>
      </c>
      <c r="H39" s="10" t="inlineStr">
        <is>
          <t>Bodega Durán</t>
        </is>
      </c>
      <c r="I39" s="10" t="n">
        <v>25</v>
      </c>
    </row>
    <row r="40">
      <c r="A40" s="6" t="inlineStr">
        <is>
          <t>032</t>
        </is>
      </c>
      <c r="B40" s="6" t="inlineStr">
        <is>
          <t>CDI</t>
        </is>
      </c>
      <c r="C40" s="6" t="inlineStr">
        <is>
          <t>2026-09-19</t>
        </is>
      </c>
      <c r="D40" s="6" t="inlineStr">
        <is>
          <t>Entrada</t>
        </is>
      </c>
      <c r="E40" s="6" t="n">
        <v>20</v>
      </c>
      <c r="F40" s="6" t="inlineStr"/>
      <c r="G40" s="6" t="inlineStr">
        <is>
          <t>431</t>
        </is>
      </c>
      <c r="H40" s="6" t="inlineStr">
        <is>
          <t>Administrador del Sistema</t>
        </is>
      </c>
      <c r="I40" s="6" t="n">
        <v>20</v>
      </c>
    </row>
    <row r="41">
      <c r="A41" s="10" t="inlineStr">
        <is>
          <t>083</t>
        </is>
      </c>
      <c r="B41" s="10" t="inlineStr">
        <is>
          <t>CILINDRO GN125</t>
        </is>
      </c>
      <c r="C41" s="10" t="inlineStr">
        <is>
          <t>2026-09-19</t>
        </is>
      </c>
      <c r="D41" s="10" t="inlineStr">
        <is>
          <t>Salida</t>
        </is>
      </c>
      <c r="E41" s="10" t="n">
        <v>1</v>
      </c>
      <c r="F41" s="10" t="inlineStr">
        <is>
          <t>Coor Mayorga/Tecnico Toala</t>
        </is>
      </c>
      <c r="G41" s="10" t="inlineStr">
        <is>
          <t>Corvinero</t>
        </is>
      </c>
      <c r="H41" s="10" t="inlineStr">
        <is>
          <t>Administrador del Sistema</t>
        </is>
      </c>
      <c r="I41" s="10" t="n">
        <v>-1</v>
      </c>
    </row>
    <row r="42">
      <c r="A42" s="6" t="inlineStr">
        <is>
          <t>083</t>
        </is>
      </c>
      <c r="B42" s="6" t="inlineStr">
        <is>
          <t>CILINDRO GN125</t>
        </is>
      </c>
      <c r="C42" s="6" t="inlineStr">
        <is>
          <t>2026-09-19</t>
        </is>
      </c>
      <c r="D42" s="6" t="inlineStr">
        <is>
          <t>Entrada</t>
        </is>
      </c>
      <c r="E42" s="6" t="n">
        <v>13</v>
      </c>
      <c r="F42" s="6" t="inlineStr"/>
      <c r="G42" s="6" t="inlineStr">
        <is>
          <t>731</t>
        </is>
      </c>
      <c r="H42" s="6" t="inlineStr">
        <is>
          <t>Administrador del Sistema</t>
        </is>
      </c>
      <c r="I42" s="6" t="n">
        <v>12</v>
      </c>
    </row>
    <row r="43">
      <c r="A43" s="10" t="inlineStr">
        <is>
          <t>083</t>
        </is>
      </c>
      <c r="B43" s="10" t="inlineStr">
        <is>
          <t>CILINDRO GN125</t>
        </is>
      </c>
      <c r="C43" s="10" t="inlineStr">
        <is>
          <t>2026-09-24</t>
        </is>
      </c>
      <c r="D43" s="10" t="inlineStr">
        <is>
          <t>Salida</t>
        </is>
      </c>
      <c r="E43" s="10" t="n">
        <v>3</v>
      </c>
      <c r="F43" s="10" t="inlineStr">
        <is>
          <t xml:space="preserve">Coordinador Ronald Mayorga </t>
        </is>
      </c>
      <c r="G43" s="10" t="inlineStr">
        <is>
          <t xml:space="preserve">Cachugran </t>
        </is>
      </c>
      <c r="H43" s="10" t="inlineStr">
        <is>
          <t>Bodega Durán</t>
        </is>
      </c>
      <c r="I43" s="10" t="n">
        <v>9</v>
      </c>
    </row>
    <row r="44">
      <c r="A44" s="10" t="inlineStr">
        <is>
          <t>083</t>
        </is>
      </c>
      <c r="B44" s="10" t="inlineStr">
        <is>
          <t>CILINDRO GN125</t>
        </is>
      </c>
      <c r="C44" s="10" t="inlineStr">
        <is>
          <t>2026-09-26</t>
        </is>
      </c>
      <c r="D44" s="10" t="inlineStr">
        <is>
          <t>Salida</t>
        </is>
      </c>
      <c r="E44" s="10" t="n">
        <v>2</v>
      </c>
      <c r="F44" s="10" t="inlineStr">
        <is>
          <t xml:space="preserve">Coordinador Bone </t>
        </is>
      </c>
      <c r="G44" s="10" t="inlineStr">
        <is>
          <t>Taura c</t>
        </is>
      </c>
      <c r="H44" s="10" t="inlineStr">
        <is>
          <t>Bodega Durán</t>
        </is>
      </c>
      <c r="I44" s="10" t="n">
        <v>7</v>
      </c>
    </row>
    <row r="45">
      <c r="A45" s="10" t="inlineStr">
        <is>
          <t>072</t>
        </is>
      </c>
      <c r="B45" s="10" t="inlineStr">
        <is>
          <t>CINTA AISLANTE</t>
        </is>
      </c>
      <c r="C45" s="10" t="inlineStr">
        <is>
          <t>2026-09-19</t>
        </is>
      </c>
      <c r="D45" s="10" t="inlineStr">
        <is>
          <t>Salida</t>
        </is>
      </c>
      <c r="E45" s="10" t="n">
        <v>2</v>
      </c>
      <c r="F45" s="10" t="inlineStr">
        <is>
          <t>Coor Mayorga/Tecnico Toala</t>
        </is>
      </c>
      <c r="G45" s="10" t="inlineStr">
        <is>
          <t>Corvinero</t>
        </is>
      </c>
      <c r="H45" s="10" t="inlineStr">
        <is>
          <t>Administrador del Sistema</t>
        </is>
      </c>
      <c r="I45" s="10" t="n">
        <v>-2</v>
      </c>
    </row>
    <row r="46">
      <c r="A46" s="6" t="inlineStr">
        <is>
          <t>072</t>
        </is>
      </c>
      <c r="B46" s="6" t="inlineStr">
        <is>
          <t>CINTA AISLANTE</t>
        </is>
      </c>
      <c r="C46" s="6" t="inlineStr">
        <is>
          <t>2026-09-19</t>
        </is>
      </c>
      <c r="D46" s="6" t="inlineStr">
        <is>
          <t>Entrada</t>
        </is>
      </c>
      <c r="E46" s="6" t="n">
        <v>50</v>
      </c>
      <c r="F46" s="6" t="inlineStr"/>
      <c r="G46" s="6" t="inlineStr">
        <is>
          <t>431</t>
        </is>
      </c>
      <c r="H46" s="6" t="inlineStr">
        <is>
          <t>Administrador del Sistema</t>
        </is>
      </c>
      <c r="I46" s="6" t="n">
        <v>48</v>
      </c>
    </row>
    <row r="47">
      <c r="A47" s="6" t="inlineStr">
        <is>
          <t>034</t>
        </is>
      </c>
      <c r="B47" s="6" t="inlineStr">
        <is>
          <t>DISCO DE FRENO DELANTERO</t>
        </is>
      </c>
      <c r="C47" s="6" t="inlineStr">
        <is>
          <t>2026-09-19</t>
        </is>
      </c>
      <c r="D47" s="6" t="inlineStr">
        <is>
          <t>Entrada</t>
        </is>
      </c>
      <c r="E47" s="6" t="n">
        <v>20</v>
      </c>
      <c r="F47" s="6" t="inlineStr"/>
      <c r="G47" s="6" t="inlineStr"/>
      <c r="H47" s="6" t="inlineStr">
        <is>
          <t>Administrador del Sistema</t>
        </is>
      </c>
      <c r="I47" s="6" t="n">
        <v>20</v>
      </c>
    </row>
    <row r="48">
      <c r="A48" s="6" t="inlineStr">
        <is>
          <t>009</t>
        </is>
      </c>
      <c r="B48" s="6" t="inlineStr">
        <is>
          <t>ESCAPE</t>
        </is>
      </c>
      <c r="C48" s="6" t="inlineStr">
        <is>
          <t>2026-09-19</t>
        </is>
      </c>
      <c r="D48" s="6" t="inlineStr">
        <is>
          <t>Entrada</t>
        </is>
      </c>
      <c r="E48" s="6" t="n">
        <v>25</v>
      </c>
      <c r="F48" s="6" t="inlineStr"/>
      <c r="G48" s="6" t="inlineStr">
        <is>
          <t>371</t>
        </is>
      </c>
      <c r="H48" s="6" t="inlineStr">
        <is>
          <t>Administrador del Sistema</t>
        </is>
      </c>
      <c r="I48" s="6" t="n">
        <v>25</v>
      </c>
    </row>
    <row r="49">
      <c r="A49" s="6" t="inlineStr">
        <is>
          <t>009</t>
        </is>
      </c>
      <c r="B49" s="6" t="inlineStr">
        <is>
          <t>ESCAPE</t>
        </is>
      </c>
      <c r="C49" s="6" t="inlineStr">
        <is>
          <t>2026-09-19</t>
        </is>
      </c>
      <c r="D49" s="6" t="inlineStr">
        <is>
          <t>Entrada</t>
        </is>
      </c>
      <c r="E49" s="6" t="n">
        <v>4</v>
      </c>
      <c r="F49" s="6" t="inlineStr"/>
      <c r="G49" s="6" t="inlineStr"/>
      <c r="H49" s="6" t="inlineStr">
        <is>
          <t>Administrador del Sistema</t>
        </is>
      </c>
      <c r="I49" s="6" t="n">
        <v>29</v>
      </c>
    </row>
    <row r="50">
      <c r="A50" s="6" t="inlineStr">
        <is>
          <t>058</t>
        </is>
      </c>
      <c r="B50" s="6" t="inlineStr">
        <is>
          <t>ESPEJOS (PARES)</t>
        </is>
      </c>
      <c r="C50" s="6" t="inlineStr">
        <is>
          <t>2026-09-19</t>
        </is>
      </c>
      <c r="D50" s="6" t="inlineStr">
        <is>
          <t>Entrada</t>
        </is>
      </c>
      <c r="E50" s="6" t="n">
        <v>50</v>
      </c>
      <c r="F50" s="6" t="inlineStr"/>
      <c r="G50" s="6" t="inlineStr">
        <is>
          <t>431</t>
        </is>
      </c>
      <c r="H50" s="6" t="inlineStr">
        <is>
          <t>Administrador del Sistema</t>
        </is>
      </c>
      <c r="I50" s="6" t="n">
        <v>50</v>
      </c>
    </row>
    <row r="51">
      <c r="A51" s="10" t="inlineStr">
        <is>
          <t>058</t>
        </is>
      </c>
      <c r="B51" s="10" t="inlineStr">
        <is>
          <t>ESPEJOS (PARES)</t>
        </is>
      </c>
      <c r="C51" s="10" t="inlineStr">
        <is>
          <t>2026-09-24</t>
        </is>
      </c>
      <c r="D51" s="10" t="inlineStr">
        <is>
          <t>Salida</t>
        </is>
      </c>
      <c r="E51" s="10" t="n">
        <v>6</v>
      </c>
      <c r="F51" s="10" t="inlineStr">
        <is>
          <t xml:space="preserve">Coordinador Ronald Mayorga </t>
        </is>
      </c>
      <c r="G51" s="10" t="inlineStr">
        <is>
          <t xml:space="preserve">Cachugran </t>
        </is>
      </c>
      <c r="H51" s="10" t="inlineStr">
        <is>
          <t>Bodega Durán</t>
        </is>
      </c>
      <c r="I51" s="10" t="n">
        <v>44</v>
      </c>
    </row>
    <row r="52">
      <c r="A52" s="6" t="inlineStr">
        <is>
          <t>084</t>
        </is>
      </c>
      <c r="B52" s="6" t="inlineStr">
        <is>
          <t>ESTRIBO DELANTERO GN125</t>
        </is>
      </c>
      <c r="C52" s="6" t="inlineStr">
        <is>
          <t>2026-09-19</t>
        </is>
      </c>
      <c r="D52" s="6" t="inlineStr">
        <is>
          <t>Entrada</t>
        </is>
      </c>
      <c r="E52" s="6" t="n">
        <v>40</v>
      </c>
      <c r="F52" s="6" t="inlineStr"/>
      <c r="G52" s="6" t="inlineStr">
        <is>
          <t>371</t>
        </is>
      </c>
      <c r="H52" s="6" t="inlineStr">
        <is>
          <t>Administrador del Sistema</t>
        </is>
      </c>
      <c r="I52" s="6" t="n">
        <v>40</v>
      </c>
    </row>
    <row r="53">
      <c r="A53" s="6" t="inlineStr">
        <is>
          <t>085</t>
        </is>
      </c>
      <c r="B53" s="6" t="inlineStr">
        <is>
          <t>ESTRIBO POSTERIOR GN125</t>
        </is>
      </c>
      <c r="C53" s="6" t="inlineStr">
        <is>
          <t>2026-09-19</t>
        </is>
      </c>
      <c r="D53" s="6" t="inlineStr">
        <is>
          <t>Entrada</t>
        </is>
      </c>
      <c r="E53" s="6" t="n">
        <v>40</v>
      </c>
      <c r="F53" s="6" t="inlineStr"/>
      <c r="G53" s="6" t="inlineStr"/>
      <c r="H53" s="6" t="inlineStr">
        <is>
          <t>Administrador del Sistema</t>
        </is>
      </c>
      <c r="I53" s="6" t="n">
        <v>40</v>
      </c>
    </row>
    <row r="54">
      <c r="A54" s="10" t="inlineStr">
        <is>
          <t>086</t>
        </is>
      </c>
      <c r="B54" s="10" t="inlineStr">
        <is>
          <t>FARO GN125 NOVA</t>
        </is>
      </c>
      <c r="C54" s="10" t="inlineStr">
        <is>
          <t>2026-09-19</t>
        </is>
      </c>
      <c r="D54" s="10" t="inlineStr">
        <is>
          <t>Salida</t>
        </is>
      </c>
      <c r="E54" s="10" t="n">
        <v>2</v>
      </c>
      <c r="F54" s="10" t="inlineStr">
        <is>
          <t>Coor Mayorga/Tecnico Toala</t>
        </is>
      </c>
      <c r="G54" s="10" t="inlineStr">
        <is>
          <t>Corvinero</t>
        </is>
      </c>
      <c r="H54" s="10" t="inlineStr">
        <is>
          <t>Administrador del Sistema</t>
        </is>
      </c>
      <c r="I54" s="10" t="n">
        <v>-2</v>
      </c>
    </row>
    <row r="55">
      <c r="A55" s="10" t="inlineStr">
        <is>
          <t>086</t>
        </is>
      </c>
      <c r="B55" s="10" t="inlineStr">
        <is>
          <t>FARO GN125 NOVA</t>
        </is>
      </c>
      <c r="C55" s="10" t="inlineStr">
        <is>
          <t>2026-09-19</t>
        </is>
      </c>
      <c r="D55" s="10" t="inlineStr">
        <is>
          <t>Salida</t>
        </is>
      </c>
      <c r="E55" s="10" t="n">
        <v>2</v>
      </c>
      <c r="F55" s="10" t="inlineStr">
        <is>
          <t>Coor Mayorga/Tecnico Toala</t>
        </is>
      </c>
      <c r="G55" s="10" t="inlineStr">
        <is>
          <t>Corvinero</t>
        </is>
      </c>
      <c r="H55" s="10" t="inlineStr">
        <is>
          <t>Administrador del Sistema</t>
        </is>
      </c>
      <c r="I55" s="10" t="n">
        <v>-4</v>
      </c>
    </row>
    <row r="56">
      <c r="A56" s="6" t="inlineStr">
        <is>
          <t>086</t>
        </is>
      </c>
      <c r="B56" s="6" t="inlineStr">
        <is>
          <t>FARO GN125 NOVA</t>
        </is>
      </c>
      <c r="C56" s="6" t="inlineStr">
        <is>
          <t>2026-09-19</t>
        </is>
      </c>
      <c r="D56" s="6" t="inlineStr">
        <is>
          <t>Entrada</t>
        </is>
      </c>
      <c r="E56" s="6" t="n">
        <v>37</v>
      </c>
      <c r="F56" s="6" t="inlineStr"/>
      <c r="G56" s="6" t="inlineStr">
        <is>
          <t>431</t>
        </is>
      </c>
      <c r="H56" s="6" t="inlineStr">
        <is>
          <t>Administrador del Sistema</t>
        </is>
      </c>
      <c r="I56" s="6" t="n">
        <v>33</v>
      </c>
    </row>
    <row r="57">
      <c r="A57" s="10" t="inlineStr">
        <is>
          <t>086</t>
        </is>
      </c>
      <c r="B57" s="10" t="inlineStr">
        <is>
          <t>FARO GN125 NOVA</t>
        </is>
      </c>
      <c r="C57" s="10" t="inlineStr">
        <is>
          <t>2026-09-24</t>
        </is>
      </c>
      <c r="D57" s="10" t="inlineStr">
        <is>
          <t>Salida</t>
        </is>
      </c>
      <c r="E57" s="10" t="n">
        <v>3</v>
      </c>
      <c r="F57" s="10" t="inlineStr">
        <is>
          <t xml:space="preserve">Coordinador Ronald Mayorga </t>
        </is>
      </c>
      <c r="G57" s="10" t="inlineStr">
        <is>
          <t xml:space="preserve">Cachugran </t>
        </is>
      </c>
      <c r="H57" s="10" t="inlineStr">
        <is>
          <t>Bodega Durán</t>
        </is>
      </c>
      <c r="I57" s="10" t="n">
        <v>30</v>
      </c>
    </row>
    <row r="58">
      <c r="A58" s="6" t="inlineStr">
        <is>
          <t>048</t>
        </is>
      </c>
      <c r="B58" s="6" t="inlineStr">
        <is>
          <t>FILTRO DE ACEITE</t>
        </is>
      </c>
      <c r="C58" s="6" t="inlineStr">
        <is>
          <t>2026-09-19</t>
        </is>
      </c>
      <c r="D58" s="6" t="inlineStr">
        <is>
          <t>Entrada</t>
        </is>
      </c>
      <c r="E58" s="6" t="n">
        <v>100</v>
      </c>
      <c r="F58" s="6" t="inlineStr"/>
      <c r="G58" s="6" t="inlineStr">
        <is>
          <t>431</t>
        </is>
      </c>
      <c r="H58" s="6" t="inlineStr">
        <is>
          <t>Administrador del Sistema</t>
        </is>
      </c>
      <c r="I58" s="6" t="n">
        <v>100</v>
      </c>
    </row>
    <row r="59">
      <c r="A59" s="6" t="inlineStr">
        <is>
          <t>048</t>
        </is>
      </c>
      <c r="B59" s="6" t="inlineStr">
        <is>
          <t>FILTRO DE ACEITE</t>
        </is>
      </c>
      <c r="C59" s="6" t="inlineStr">
        <is>
          <t>2026-09-19</t>
        </is>
      </c>
      <c r="D59" s="6" t="inlineStr">
        <is>
          <t>Entrada</t>
        </is>
      </c>
      <c r="E59" s="6" t="n">
        <v>24</v>
      </c>
      <c r="F59" s="6" t="inlineStr"/>
      <c r="G59" s="6" t="inlineStr"/>
      <c r="H59" s="6" t="inlineStr">
        <is>
          <t>Administrador del Sistema</t>
        </is>
      </c>
      <c r="I59" s="6" t="n">
        <v>124</v>
      </c>
    </row>
    <row r="60">
      <c r="A60" s="6" t="inlineStr">
        <is>
          <t>012</t>
        </is>
      </c>
      <c r="B60" s="6" t="inlineStr">
        <is>
          <t>FILTRO DE AIRE</t>
        </is>
      </c>
      <c r="C60" s="6" t="inlineStr">
        <is>
          <t>2026-09-19</t>
        </is>
      </c>
      <c r="D60" s="6" t="inlineStr">
        <is>
          <t>Entrada</t>
        </is>
      </c>
      <c r="E60" s="6" t="n">
        <v>23</v>
      </c>
      <c r="F60" s="6" t="inlineStr"/>
      <c r="G60" s="6" t="inlineStr"/>
      <c r="H60" s="6" t="inlineStr">
        <is>
          <t>Administrador del Sistema</t>
        </is>
      </c>
      <c r="I60" s="6" t="n">
        <v>23</v>
      </c>
    </row>
    <row r="61">
      <c r="A61" s="10" t="inlineStr">
        <is>
          <t>087</t>
        </is>
      </c>
      <c r="B61" s="10" t="inlineStr">
        <is>
          <t>FOCO 2 PUNTOS LED BLANCO</t>
        </is>
      </c>
      <c r="C61" s="10" t="inlineStr">
        <is>
          <t>2026-09-19</t>
        </is>
      </c>
      <c r="D61" s="10" t="inlineStr">
        <is>
          <t>Salida</t>
        </is>
      </c>
      <c r="E61" s="10" t="n">
        <v>5</v>
      </c>
      <c r="F61" s="10" t="inlineStr">
        <is>
          <t>Coor Mayorga/Tecnico Toala</t>
        </is>
      </c>
      <c r="G61" s="10" t="inlineStr">
        <is>
          <t>Corvinero</t>
        </is>
      </c>
      <c r="H61" s="10" t="inlineStr">
        <is>
          <t>Administrador del Sistema</t>
        </is>
      </c>
      <c r="I61" s="10" t="n">
        <v>-5</v>
      </c>
    </row>
    <row r="62">
      <c r="A62" s="6" t="inlineStr">
        <is>
          <t>087</t>
        </is>
      </c>
      <c r="B62" s="6" t="inlineStr">
        <is>
          <t>FOCO 2 PUNTOS LED BLANCO</t>
        </is>
      </c>
      <c r="C62" s="6" t="inlineStr">
        <is>
          <t>2026-09-19</t>
        </is>
      </c>
      <c r="D62" s="6" t="inlineStr">
        <is>
          <t>Entrada</t>
        </is>
      </c>
      <c r="E62" s="6" t="n">
        <v>80</v>
      </c>
      <c r="F62" s="6" t="inlineStr"/>
      <c r="G62" s="6" t="inlineStr">
        <is>
          <t>431</t>
        </is>
      </c>
      <c r="H62" s="6" t="inlineStr">
        <is>
          <t>Administrador del Sistema</t>
        </is>
      </c>
      <c r="I62" s="6" t="n">
        <v>75</v>
      </c>
    </row>
    <row r="63">
      <c r="A63" s="10" t="inlineStr">
        <is>
          <t>087</t>
        </is>
      </c>
      <c r="B63" s="10" t="inlineStr">
        <is>
          <t>FOCO 2 PUNTOS LED BLANCO</t>
        </is>
      </c>
      <c r="C63" s="10" t="inlineStr">
        <is>
          <t>2026-09-24</t>
        </is>
      </c>
      <c r="D63" s="10" t="inlineStr">
        <is>
          <t>Salida</t>
        </is>
      </c>
      <c r="E63" s="10" t="n">
        <v>5</v>
      </c>
      <c r="F63" s="10" t="inlineStr">
        <is>
          <t xml:space="preserve">Coordinador Ronald Mayorga </t>
        </is>
      </c>
      <c r="G63" s="10" t="inlineStr">
        <is>
          <t xml:space="preserve">Cachugran </t>
        </is>
      </c>
      <c r="H63" s="10" t="inlineStr">
        <is>
          <t>Bodega Durán</t>
        </is>
      </c>
      <c r="I63" s="10" t="n">
        <v>70</v>
      </c>
    </row>
    <row r="64">
      <c r="A64" s="6" t="inlineStr">
        <is>
          <t>088</t>
        </is>
      </c>
      <c r="B64" s="6" t="inlineStr">
        <is>
          <t>GALLETA DE FRENO GN125</t>
        </is>
      </c>
      <c r="C64" s="6" t="inlineStr">
        <is>
          <t>2026-09-19</t>
        </is>
      </c>
      <c r="D64" s="6" t="inlineStr">
        <is>
          <t>Entrada</t>
        </is>
      </c>
      <c r="E64" s="6" t="n">
        <v>117</v>
      </c>
      <c r="F64" s="6" t="inlineStr"/>
      <c r="G64" s="6" t="inlineStr"/>
      <c r="H64" s="6" t="inlineStr">
        <is>
          <t>Administrador del Sistema</t>
        </is>
      </c>
      <c r="I64" s="6" t="n">
        <v>117</v>
      </c>
    </row>
    <row r="65">
      <c r="A65" s="6" t="inlineStr">
        <is>
          <t>090</t>
        </is>
      </c>
      <c r="B65" s="6" t="inlineStr">
        <is>
          <t>GUÍA DIRECCIONAL DELANTEROA GN125</t>
        </is>
      </c>
      <c r="C65" s="6" t="inlineStr">
        <is>
          <t>2026-09-18</t>
        </is>
      </c>
      <c r="D65" s="6" t="inlineStr">
        <is>
          <t>Entrada</t>
        </is>
      </c>
      <c r="E65" s="6" t="n">
        <v>25</v>
      </c>
      <c r="F65" s="6" t="inlineStr"/>
      <c r="G65" s="6" t="inlineStr"/>
      <c r="H65" s="6" t="inlineStr">
        <is>
          <t>Administrador del Sistema</t>
        </is>
      </c>
      <c r="I65" s="6" t="n">
        <v>25</v>
      </c>
    </row>
    <row r="66">
      <c r="A66" s="10" t="inlineStr">
        <is>
          <t>090</t>
        </is>
      </c>
      <c r="B66" s="10" t="inlineStr">
        <is>
          <t>GUÍA DIRECCIONAL DELANTEROA GN125</t>
        </is>
      </c>
      <c r="C66" s="10" t="inlineStr">
        <is>
          <t>2026-09-19</t>
        </is>
      </c>
      <c r="D66" s="10" t="inlineStr">
        <is>
          <t>Salida</t>
        </is>
      </c>
      <c r="E66" s="10" t="n">
        <v>2</v>
      </c>
      <c r="F66" s="10" t="inlineStr">
        <is>
          <t>Coor Mayorga/Tecnico Toala</t>
        </is>
      </c>
      <c r="G66" s="10" t="inlineStr">
        <is>
          <t>Corvinero</t>
        </is>
      </c>
      <c r="H66" s="10" t="inlineStr">
        <is>
          <t>Administrador del Sistema</t>
        </is>
      </c>
      <c r="I66" s="10" t="n">
        <v>23</v>
      </c>
    </row>
    <row r="67">
      <c r="A67" s="10" t="inlineStr">
        <is>
          <t>090</t>
        </is>
      </c>
      <c r="B67" s="10" t="inlineStr">
        <is>
          <t>GUÍA DIRECCIONAL DELANTEROA GN125</t>
        </is>
      </c>
      <c r="C67" s="10" t="inlineStr">
        <is>
          <t>2026-09-24</t>
        </is>
      </c>
      <c r="D67" s="10" t="inlineStr">
        <is>
          <t>Salida</t>
        </is>
      </c>
      <c r="E67" s="10" t="n">
        <v>6</v>
      </c>
      <c r="F67" s="10" t="inlineStr">
        <is>
          <t xml:space="preserve">Coordinador Ronald Mayorga </t>
        </is>
      </c>
      <c r="G67" s="10" t="inlineStr">
        <is>
          <t xml:space="preserve">Cachugran </t>
        </is>
      </c>
      <c r="H67" s="10" t="inlineStr">
        <is>
          <t>Bodega Durán</t>
        </is>
      </c>
      <c r="I67" s="10" t="n">
        <v>17</v>
      </c>
    </row>
    <row r="68">
      <c r="A68" s="6" t="inlineStr">
        <is>
          <t>089</t>
        </is>
      </c>
      <c r="B68" s="6" t="inlineStr">
        <is>
          <t>GUÍA DIRECCIONAL POSTERIOR GN125</t>
        </is>
      </c>
      <c r="C68" s="6" t="inlineStr">
        <is>
          <t>2026-09-19</t>
        </is>
      </c>
      <c r="D68" s="6" t="inlineStr">
        <is>
          <t>Entrada</t>
        </is>
      </c>
      <c r="E68" s="6" t="n">
        <v>43</v>
      </c>
      <c r="F68" s="6" t="inlineStr"/>
      <c r="G68" s="6" t="inlineStr">
        <is>
          <t>431</t>
        </is>
      </c>
      <c r="H68" s="6" t="inlineStr">
        <is>
          <t>Administrador del Sistema</t>
        </is>
      </c>
      <c r="I68" s="6" t="n">
        <v>43</v>
      </c>
    </row>
    <row r="69">
      <c r="A69" s="6" t="inlineStr">
        <is>
          <t>0110</t>
        </is>
      </c>
      <c r="B69" s="6" t="inlineStr">
        <is>
          <t>INSTALACIÓN ELÉCTRICA</t>
        </is>
      </c>
      <c r="C69" s="6" t="inlineStr">
        <is>
          <t>2026-09-19</t>
        </is>
      </c>
      <c r="D69" s="6" t="inlineStr">
        <is>
          <t>Entrada</t>
        </is>
      </c>
      <c r="E69" s="6" t="n">
        <v>15</v>
      </c>
      <c r="F69" s="6" t="inlineStr"/>
      <c r="G69" s="6" t="inlineStr">
        <is>
          <t>431</t>
        </is>
      </c>
      <c r="H69" s="6" t="inlineStr">
        <is>
          <t>Administrador del Sistema</t>
        </is>
      </c>
      <c r="I69" s="6" t="n">
        <v>15</v>
      </c>
    </row>
    <row r="70">
      <c r="A70" s="6" t="inlineStr">
        <is>
          <t>044</t>
        </is>
      </c>
      <c r="B70" s="6" t="inlineStr">
        <is>
          <t>JUEGO DE EMPAQUE</t>
        </is>
      </c>
      <c r="C70" s="6" t="inlineStr">
        <is>
          <t>2026-09-19</t>
        </is>
      </c>
      <c r="D70" s="6" t="inlineStr">
        <is>
          <t>Entrada</t>
        </is>
      </c>
      <c r="E70" s="6" t="n">
        <v>23</v>
      </c>
      <c r="F70" s="6" t="inlineStr"/>
      <c r="G70" s="6" t="inlineStr"/>
      <c r="H70" s="6" t="inlineStr">
        <is>
          <t>Administrador del Sistema</t>
        </is>
      </c>
      <c r="I70" s="6" t="n">
        <v>23</v>
      </c>
    </row>
    <row r="71">
      <c r="A71" s="10" t="inlineStr">
        <is>
          <t>044</t>
        </is>
      </c>
      <c r="B71" s="10" t="inlineStr">
        <is>
          <t>JUEGO DE EMPAQUE</t>
        </is>
      </c>
      <c r="C71" s="10" t="inlineStr">
        <is>
          <t>2026-09-19</t>
        </is>
      </c>
      <c r="D71" s="10" t="inlineStr">
        <is>
          <t>Salida</t>
        </is>
      </c>
      <c r="E71" s="10" t="n">
        <v>1</v>
      </c>
      <c r="F71" s="10" t="inlineStr">
        <is>
          <t>Coor Mayorga/Tecnico Toala</t>
        </is>
      </c>
      <c r="G71" s="10" t="inlineStr">
        <is>
          <t>Corvinero</t>
        </is>
      </c>
      <c r="H71" s="10" t="inlineStr">
        <is>
          <t>Administrador del Sistema</t>
        </is>
      </c>
      <c r="I71" s="10" t="n">
        <v>22</v>
      </c>
    </row>
    <row r="72">
      <c r="A72" s="10" t="inlineStr">
        <is>
          <t>044</t>
        </is>
      </c>
      <c r="B72" s="10" t="inlineStr">
        <is>
          <t>JUEGO DE EMPAQUE</t>
        </is>
      </c>
      <c r="C72" s="10" t="inlineStr">
        <is>
          <t>2026-09-26</t>
        </is>
      </c>
      <c r="D72" s="10" t="inlineStr">
        <is>
          <t>Salida</t>
        </is>
      </c>
      <c r="E72" s="10" t="n">
        <v>5</v>
      </c>
      <c r="F72" s="10" t="inlineStr">
        <is>
          <t xml:space="preserve">Coordinador Bone </t>
        </is>
      </c>
      <c r="G72" s="10" t="inlineStr">
        <is>
          <t>Taura c</t>
        </is>
      </c>
      <c r="H72" s="10" t="inlineStr">
        <is>
          <t>Bodega Durán</t>
        </is>
      </c>
      <c r="I72" s="10" t="n">
        <v>17</v>
      </c>
    </row>
    <row r="73">
      <c r="A73" s="6" t="inlineStr">
        <is>
          <t>091</t>
        </is>
      </c>
      <c r="B73" s="6" t="inlineStr">
        <is>
          <t>KIT DE PISTÓN GN125</t>
        </is>
      </c>
      <c r="C73" s="6" t="inlineStr">
        <is>
          <t>2026-09-19</t>
        </is>
      </c>
      <c r="D73" s="6" t="inlineStr">
        <is>
          <t>Entrada</t>
        </is>
      </c>
      <c r="E73" s="6" t="n">
        <v>10</v>
      </c>
      <c r="F73" s="6" t="inlineStr"/>
      <c r="G73" s="6" t="inlineStr">
        <is>
          <t>731</t>
        </is>
      </c>
      <c r="H73" s="6" t="inlineStr">
        <is>
          <t>Administrador del Sistema</t>
        </is>
      </c>
      <c r="I73" s="6" t="n">
        <v>10</v>
      </c>
    </row>
    <row r="74">
      <c r="A74" s="6" t="inlineStr">
        <is>
          <t>091</t>
        </is>
      </c>
      <c r="B74" s="6" t="inlineStr">
        <is>
          <t>KIT DE PISTÓN GN125</t>
        </is>
      </c>
      <c r="C74" s="6" t="inlineStr">
        <is>
          <t>2026-09-22</t>
        </is>
      </c>
      <c r="D74" s="6" t="inlineStr">
        <is>
          <t>Entrada</t>
        </is>
      </c>
      <c r="E74" s="6" t="n">
        <v>15</v>
      </c>
      <c r="F74" s="6" t="inlineStr">
        <is>
          <t>colon moto</t>
        </is>
      </c>
      <c r="G74" s="6" t="inlineStr">
        <is>
          <t>371</t>
        </is>
      </c>
      <c r="H74" s="6" t="inlineStr">
        <is>
          <t>Administrador del Sistema</t>
        </is>
      </c>
      <c r="I74" s="6" t="n">
        <v>25</v>
      </c>
    </row>
    <row r="75">
      <c r="A75" s="6" t="inlineStr">
        <is>
          <t>001</t>
        </is>
      </c>
      <c r="B75" s="6" t="inlineStr">
        <is>
          <t>LLANTAS DELANTERAS</t>
        </is>
      </c>
      <c r="C75" s="6" t="inlineStr">
        <is>
          <t>2026-09-19</t>
        </is>
      </c>
      <c r="D75" s="6" t="inlineStr">
        <is>
          <t>Entrada</t>
        </is>
      </c>
      <c r="E75" s="6" t="n">
        <v>11</v>
      </c>
      <c r="F75" s="6" t="inlineStr"/>
      <c r="G75" s="6" t="inlineStr"/>
      <c r="H75" s="6" t="inlineStr">
        <is>
          <t>Administrador del Sistema</t>
        </is>
      </c>
      <c r="I75" s="6" t="n">
        <v>11</v>
      </c>
    </row>
    <row r="76">
      <c r="A76" s="6" t="inlineStr">
        <is>
          <t>002</t>
        </is>
      </c>
      <c r="B76" s="6" t="inlineStr">
        <is>
          <t>LLANTAS TRASERAS</t>
        </is>
      </c>
      <c r="C76" s="6" t="inlineStr">
        <is>
          <t>2026-09-19</t>
        </is>
      </c>
      <c r="D76" s="6" t="inlineStr">
        <is>
          <t>Entrada</t>
        </is>
      </c>
      <c r="E76" s="6" t="n">
        <v>10</v>
      </c>
      <c r="F76" s="6" t="inlineStr"/>
      <c r="G76" s="6" t="inlineStr"/>
      <c r="H76" s="6" t="inlineStr">
        <is>
          <t>Administrador del Sistema</t>
        </is>
      </c>
      <c r="I76" s="6" t="n">
        <v>10</v>
      </c>
    </row>
    <row r="77">
      <c r="A77" s="6" t="inlineStr">
        <is>
          <t>056</t>
        </is>
      </c>
      <c r="B77" s="6" t="inlineStr">
        <is>
          <t>MANIJA DE EMBRAGUE</t>
        </is>
      </c>
      <c r="C77" s="6" t="inlineStr">
        <is>
          <t>2026-09-19</t>
        </is>
      </c>
      <c r="D77" s="6" t="inlineStr">
        <is>
          <t>Entrada</t>
        </is>
      </c>
      <c r="E77" s="6" t="n">
        <v>34</v>
      </c>
      <c r="F77" s="6" t="inlineStr"/>
      <c r="G77" s="6" t="inlineStr">
        <is>
          <t>371</t>
        </is>
      </c>
      <c r="H77" s="6" t="inlineStr">
        <is>
          <t>Administrador del Sistema</t>
        </is>
      </c>
      <c r="I77" s="6" t="n">
        <v>34</v>
      </c>
    </row>
    <row r="78">
      <c r="A78" s="6" t="inlineStr">
        <is>
          <t>093</t>
        </is>
      </c>
      <c r="B78" s="6" t="inlineStr">
        <is>
          <t>MAYA PARA MONTURA</t>
        </is>
      </c>
      <c r="C78" s="6" t="inlineStr">
        <is>
          <t>2026-09-19</t>
        </is>
      </c>
      <c r="D78" s="6" t="inlineStr">
        <is>
          <t>Entrada</t>
        </is>
      </c>
      <c r="E78" s="6" t="n">
        <v>50</v>
      </c>
      <c r="F78" s="6" t="inlineStr"/>
      <c r="G78" s="6" t="inlineStr">
        <is>
          <t>371</t>
        </is>
      </c>
      <c r="H78" s="6" t="inlineStr">
        <is>
          <t>Administrador del Sistema</t>
        </is>
      </c>
      <c r="I78" s="6" t="n">
        <v>50</v>
      </c>
    </row>
    <row r="79">
      <c r="A79" s="6" t="inlineStr">
        <is>
          <t>016</t>
        </is>
      </c>
      <c r="B79" s="6" t="inlineStr">
        <is>
          <t>MONTURAS</t>
        </is>
      </c>
      <c r="C79" s="6" t="inlineStr">
        <is>
          <t>2026-09-19</t>
        </is>
      </c>
      <c r="D79" s="6" t="inlineStr">
        <is>
          <t>Entrada</t>
        </is>
      </c>
      <c r="E79" s="6" t="n">
        <v>9</v>
      </c>
      <c r="F79" s="6" t="inlineStr"/>
      <c r="G79" s="6" t="inlineStr"/>
      <c r="H79" s="6" t="inlineStr">
        <is>
          <t>Administrador del Sistema</t>
        </is>
      </c>
      <c r="I79" s="6" t="n">
        <v>9</v>
      </c>
    </row>
    <row r="80">
      <c r="A80" s="6" t="inlineStr">
        <is>
          <t>060</t>
        </is>
      </c>
      <c r="B80" s="6" t="inlineStr">
        <is>
          <t>MORDAZA</t>
        </is>
      </c>
      <c r="C80" s="6" t="inlineStr">
        <is>
          <t>2026-09-19</t>
        </is>
      </c>
      <c r="D80" s="6" t="inlineStr">
        <is>
          <t>Entrada</t>
        </is>
      </c>
      <c r="E80" s="6" t="n">
        <v>40</v>
      </c>
      <c r="F80" s="6" t="inlineStr"/>
      <c r="G80" s="6" t="inlineStr">
        <is>
          <t>371</t>
        </is>
      </c>
      <c r="H80" s="6" t="inlineStr">
        <is>
          <t>Administrador del Sistema</t>
        </is>
      </c>
      <c r="I80" s="6" t="n">
        <v>40</v>
      </c>
    </row>
    <row r="81">
      <c r="A81" s="6" t="inlineStr">
        <is>
          <t>043</t>
        </is>
      </c>
      <c r="B81" s="6" t="inlineStr">
        <is>
          <t>MOTOR DE ARRANQUE</t>
        </is>
      </c>
      <c r="C81" s="6" t="inlineStr">
        <is>
          <t>2026-09-19</t>
        </is>
      </c>
      <c r="D81" s="6" t="inlineStr">
        <is>
          <t>Entrada</t>
        </is>
      </c>
      <c r="E81" s="6" t="n">
        <v>3</v>
      </c>
      <c r="F81" s="6" t="inlineStr"/>
      <c r="G81" s="6" t="inlineStr"/>
      <c r="H81" s="6" t="inlineStr">
        <is>
          <t>Administrador del Sistema</t>
        </is>
      </c>
      <c r="I81" s="6" t="n">
        <v>3</v>
      </c>
    </row>
    <row r="82">
      <c r="A82" s="6" t="inlineStr">
        <is>
          <t>024</t>
        </is>
      </c>
      <c r="B82" s="6" t="inlineStr">
        <is>
          <t>PASE DE GASOLINA</t>
        </is>
      </c>
      <c r="C82" s="6" t="inlineStr">
        <is>
          <t>2026-09-19</t>
        </is>
      </c>
      <c r="D82" s="6" t="inlineStr">
        <is>
          <t>Entrada</t>
        </is>
      </c>
      <c r="E82" s="6" t="n">
        <v>17</v>
      </c>
      <c r="F82" s="6" t="inlineStr"/>
      <c r="G82" s="6" t="inlineStr"/>
      <c r="H82" s="6" t="inlineStr">
        <is>
          <t>Administrador del Sistema</t>
        </is>
      </c>
      <c r="I82" s="6" t="n">
        <v>17</v>
      </c>
    </row>
    <row r="83">
      <c r="A83" s="6" t="inlineStr">
        <is>
          <t>095</t>
        </is>
      </c>
      <c r="B83" s="6" t="inlineStr">
        <is>
          <t>PATA DE APOYO</t>
        </is>
      </c>
      <c r="C83" s="6" t="inlineStr">
        <is>
          <t>2026-09-19</t>
        </is>
      </c>
      <c r="D83" s="6" t="inlineStr">
        <is>
          <t>Entrada</t>
        </is>
      </c>
      <c r="E83" s="6" t="n">
        <v>30</v>
      </c>
      <c r="F83" s="6" t="inlineStr"/>
      <c r="G83" s="6" t="inlineStr">
        <is>
          <t>731</t>
        </is>
      </c>
      <c r="H83" s="6" t="inlineStr">
        <is>
          <t>Administrador del Sistema</t>
        </is>
      </c>
      <c r="I83" s="6" t="n">
        <v>30</v>
      </c>
    </row>
    <row r="84">
      <c r="A84" s="6" t="inlineStr">
        <is>
          <t>095</t>
        </is>
      </c>
      <c r="B84" s="6" t="inlineStr">
        <is>
          <t>PATA DE APOYO</t>
        </is>
      </c>
      <c r="C84" s="6" t="inlineStr">
        <is>
          <t>2026-09-19</t>
        </is>
      </c>
      <c r="D84" s="6" t="inlineStr">
        <is>
          <t>Entrada</t>
        </is>
      </c>
      <c r="E84" s="6" t="n">
        <v>6</v>
      </c>
      <c r="F84" s="6" t="inlineStr"/>
      <c r="G84" s="6" t="inlineStr">
        <is>
          <t>bodega</t>
        </is>
      </c>
      <c r="H84" s="6" t="inlineStr">
        <is>
          <t>Administrador del Sistema</t>
        </is>
      </c>
      <c r="I84" s="6" t="n">
        <v>36</v>
      </c>
    </row>
    <row r="85">
      <c r="A85" s="6" t="inlineStr">
        <is>
          <t>030</t>
        </is>
      </c>
      <c r="B85" s="6" t="inlineStr">
        <is>
          <t>PATA DE CAMBIO</t>
        </is>
      </c>
      <c r="C85" s="6" t="inlineStr">
        <is>
          <t>2026-09-19</t>
        </is>
      </c>
      <c r="D85" s="6" t="inlineStr">
        <is>
          <t>Entrada</t>
        </is>
      </c>
      <c r="E85" s="6" t="n">
        <v>50</v>
      </c>
      <c r="F85" s="6" t="inlineStr"/>
      <c r="G85" s="6" t="inlineStr">
        <is>
          <t>731</t>
        </is>
      </c>
      <c r="H85" s="6" t="inlineStr">
        <is>
          <t>Administrador del Sistema</t>
        </is>
      </c>
      <c r="I85" s="6" t="n">
        <v>50</v>
      </c>
    </row>
    <row r="86">
      <c r="A86" s="10" t="inlineStr">
        <is>
          <t>096</t>
        </is>
      </c>
      <c r="B86" s="10" t="inlineStr">
        <is>
          <t>PERNO DE CATALINA</t>
        </is>
      </c>
      <c r="C86" s="10" t="inlineStr">
        <is>
          <t>2026-09-19</t>
        </is>
      </c>
      <c r="D86" s="10" t="inlineStr">
        <is>
          <t>Salida</t>
        </is>
      </c>
      <c r="E86" s="10" t="n">
        <v>3</v>
      </c>
      <c r="F86" s="10" t="inlineStr">
        <is>
          <t>Coor Mayorga/Tecnico Toala</t>
        </is>
      </c>
      <c r="G86" s="10" t="inlineStr">
        <is>
          <t>Corvinero</t>
        </is>
      </c>
      <c r="H86" s="10" t="inlineStr">
        <is>
          <t>Administrador del Sistema</t>
        </is>
      </c>
      <c r="I86" s="10" t="n">
        <v>-3</v>
      </c>
    </row>
    <row r="87">
      <c r="A87" s="6" t="inlineStr">
        <is>
          <t>096</t>
        </is>
      </c>
      <c r="B87" s="6" t="inlineStr">
        <is>
          <t>PERNO DE CATALINA</t>
        </is>
      </c>
      <c r="C87" s="6" t="inlineStr">
        <is>
          <t>2026-09-19</t>
        </is>
      </c>
      <c r="D87" s="6" t="inlineStr">
        <is>
          <t>Entrada</t>
        </is>
      </c>
      <c r="E87" s="6" t="n">
        <v>92</v>
      </c>
      <c r="F87" s="6" t="inlineStr"/>
      <c r="G87" s="6" t="inlineStr">
        <is>
          <t>371</t>
        </is>
      </c>
      <c r="H87" s="6" t="inlineStr">
        <is>
          <t>Administrador del Sistema</t>
        </is>
      </c>
      <c r="I87" s="6" t="n">
        <v>89</v>
      </c>
    </row>
    <row r="88">
      <c r="A88" s="6" t="inlineStr">
        <is>
          <t>096</t>
        </is>
      </c>
      <c r="B88" s="6" t="inlineStr">
        <is>
          <t>PERNO DE CATALINA</t>
        </is>
      </c>
      <c r="C88" s="6" t="inlineStr">
        <is>
          <t>2026-09-22</t>
        </is>
      </c>
      <c r="D88" s="6" t="inlineStr">
        <is>
          <t>Entrada</t>
        </is>
      </c>
      <c r="E88" s="6" t="n">
        <v>1</v>
      </c>
      <c r="F88" s="6" t="inlineStr">
        <is>
          <t>colon moto</t>
        </is>
      </c>
      <c r="G88" s="6" t="inlineStr">
        <is>
          <t>371</t>
        </is>
      </c>
      <c r="H88" s="6" t="inlineStr">
        <is>
          <t>Administrador del Sistema</t>
        </is>
      </c>
      <c r="I88" s="6" t="n">
        <v>90</v>
      </c>
    </row>
    <row r="89">
      <c r="A89" s="10" t="inlineStr">
        <is>
          <t>019</t>
        </is>
      </c>
      <c r="B89" s="10" t="inlineStr">
        <is>
          <t>PIÑON DE MOTRIZ</t>
        </is>
      </c>
      <c r="C89" s="10" t="inlineStr">
        <is>
          <t>2026-09-19</t>
        </is>
      </c>
      <c r="D89" s="10" t="inlineStr">
        <is>
          <t>Salida</t>
        </is>
      </c>
      <c r="E89" s="10" t="n">
        <v>3</v>
      </c>
      <c r="F89" s="10" t="inlineStr">
        <is>
          <t>Coor Mayorga/Tecnico Toala</t>
        </is>
      </c>
      <c r="G89" s="10" t="inlineStr">
        <is>
          <t>Corvinero</t>
        </is>
      </c>
      <c r="H89" s="10" t="inlineStr">
        <is>
          <t>Administrador del Sistema</t>
        </is>
      </c>
      <c r="I89" s="10" t="n">
        <v>-3</v>
      </c>
    </row>
    <row r="90">
      <c r="A90" s="6" t="inlineStr">
        <is>
          <t>019</t>
        </is>
      </c>
      <c r="B90" s="6" t="inlineStr">
        <is>
          <t>PIÑON DE MOTRIZ</t>
        </is>
      </c>
      <c r="C90" s="6" t="inlineStr">
        <is>
          <t>2026-09-19</t>
        </is>
      </c>
      <c r="D90" s="6" t="inlineStr">
        <is>
          <t>Entrada</t>
        </is>
      </c>
      <c r="E90" s="6" t="n">
        <v>73</v>
      </c>
      <c r="F90" s="6" t="inlineStr">
        <is>
          <t>371</t>
        </is>
      </c>
      <c r="G90" s="6" t="inlineStr"/>
      <c r="H90" s="6" t="inlineStr">
        <is>
          <t>Administrador del Sistema</t>
        </is>
      </c>
      <c r="I90" s="6" t="n">
        <v>70</v>
      </c>
    </row>
    <row r="91">
      <c r="A91" s="6" t="inlineStr">
        <is>
          <t>019</t>
        </is>
      </c>
      <c r="B91" s="6" t="inlineStr">
        <is>
          <t>PIÑON DE MOTRIZ</t>
        </is>
      </c>
      <c r="C91" s="6" t="inlineStr">
        <is>
          <t>2026-09-19</t>
        </is>
      </c>
      <c r="D91" s="6" t="inlineStr">
        <is>
          <t>Entrada</t>
        </is>
      </c>
      <c r="E91" s="6" t="n">
        <v>73</v>
      </c>
      <c r="F91" s="6" t="inlineStr"/>
      <c r="G91" s="6" t="inlineStr">
        <is>
          <t>371</t>
        </is>
      </c>
      <c r="H91" s="6" t="inlineStr">
        <is>
          <t>Administrador del Sistema</t>
        </is>
      </c>
      <c r="I91" s="6" t="n">
        <v>143</v>
      </c>
    </row>
    <row r="92">
      <c r="A92" s="6" t="inlineStr">
        <is>
          <t>019</t>
        </is>
      </c>
      <c r="B92" s="6" t="inlineStr">
        <is>
          <t>PIÑON DE MOTRIZ</t>
        </is>
      </c>
      <c r="C92" s="6" t="inlineStr">
        <is>
          <t>2026-09-22</t>
        </is>
      </c>
      <c r="D92" s="6" t="inlineStr">
        <is>
          <t>Entrada</t>
        </is>
      </c>
      <c r="E92" s="6" t="n">
        <v>5</v>
      </c>
      <c r="F92" s="6" t="inlineStr">
        <is>
          <t>colon moto</t>
        </is>
      </c>
      <c r="G92" s="6" t="inlineStr">
        <is>
          <t>371</t>
        </is>
      </c>
      <c r="H92" s="6" t="inlineStr">
        <is>
          <t>Administrador del Sistema</t>
        </is>
      </c>
      <c r="I92" s="6" t="n">
        <v>148</v>
      </c>
    </row>
    <row r="93">
      <c r="A93" s="6" t="inlineStr">
        <is>
          <t>098</t>
        </is>
      </c>
      <c r="B93" s="6" t="inlineStr">
        <is>
          <t>PIÑON DE VELOCÍMETRO</t>
        </is>
      </c>
      <c r="C93" s="6" t="inlineStr">
        <is>
          <t>2026-09-19</t>
        </is>
      </c>
      <c r="D93" s="6" t="inlineStr">
        <is>
          <t>Entrada</t>
        </is>
      </c>
      <c r="E93" s="6" t="n">
        <v>40</v>
      </c>
      <c r="F93" s="6" t="inlineStr"/>
      <c r="G93" s="6" t="inlineStr">
        <is>
          <t>371</t>
        </is>
      </c>
      <c r="H93" s="6" t="inlineStr">
        <is>
          <t>Administrador del Sistema</t>
        </is>
      </c>
      <c r="I93" s="6" t="n">
        <v>40</v>
      </c>
    </row>
    <row r="94">
      <c r="A94" s="6" t="inlineStr">
        <is>
          <t>0114</t>
        </is>
      </c>
      <c r="B94" s="6" t="inlineStr">
        <is>
          <t>PISTA DE TIMÓN GN125 CON RULIMAN</t>
        </is>
      </c>
      <c r="C94" s="6" t="inlineStr">
        <is>
          <t>2026-09-18</t>
        </is>
      </c>
      <c r="D94" s="6" t="inlineStr">
        <is>
          <t>Entrada</t>
        </is>
      </c>
      <c r="E94" s="6" t="n">
        <v>74</v>
      </c>
      <c r="F94" s="6" t="inlineStr"/>
      <c r="G94" s="6" t="inlineStr"/>
      <c r="H94" s="6" t="inlineStr">
        <is>
          <t>Administrador del Sistema</t>
        </is>
      </c>
      <c r="I94" s="6" t="n">
        <v>74</v>
      </c>
    </row>
    <row r="95">
      <c r="A95" s="10" t="inlineStr">
        <is>
          <t>0114</t>
        </is>
      </c>
      <c r="B95" s="10" t="inlineStr">
        <is>
          <t>PISTA DE TIMÓN GN125 CON RULIMAN</t>
        </is>
      </c>
      <c r="C95" s="10" t="inlineStr">
        <is>
          <t>2026-09-19</t>
        </is>
      </c>
      <c r="D95" s="10" t="inlineStr">
        <is>
          <t>Salida</t>
        </is>
      </c>
      <c r="E95" s="10" t="n">
        <v>4</v>
      </c>
      <c r="F95" s="10" t="inlineStr">
        <is>
          <t>Coor Mayorga/Tecnico Toala</t>
        </is>
      </c>
      <c r="G95" s="10" t="inlineStr">
        <is>
          <t>Corvinero</t>
        </is>
      </c>
      <c r="H95" s="10" t="inlineStr">
        <is>
          <t>Administrador del Sistema</t>
        </is>
      </c>
      <c r="I95" s="10" t="n">
        <v>70</v>
      </c>
    </row>
    <row r="96">
      <c r="A96" s="6" t="inlineStr">
        <is>
          <t>01101</t>
        </is>
      </c>
      <c r="B96" s="6" t="inlineStr">
        <is>
          <t>PITO 12V PEQUEÑO</t>
        </is>
      </c>
      <c r="C96" s="6" t="inlineStr">
        <is>
          <t>2026-09-19</t>
        </is>
      </c>
      <c r="D96" s="6" t="inlineStr">
        <is>
          <t>Entrada</t>
        </is>
      </c>
      <c r="E96" s="6" t="n">
        <v>40</v>
      </c>
      <c r="F96" s="6" t="inlineStr"/>
      <c r="G96" s="6" t="inlineStr"/>
      <c r="H96" s="6" t="inlineStr">
        <is>
          <t>Administrador del Sistema</t>
        </is>
      </c>
      <c r="I96" s="6" t="n">
        <v>40</v>
      </c>
    </row>
    <row r="97">
      <c r="A97" s="6" t="inlineStr">
        <is>
          <t>099</t>
        </is>
      </c>
      <c r="B97" s="6" t="inlineStr">
        <is>
          <t>PORTA CATALINA</t>
        </is>
      </c>
      <c r="C97" s="6" t="inlineStr">
        <is>
          <t>2026-09-19</t>
        </is>
      </c>
      <c r="D97" s="6" t="inlineStr">
        <is>
          <t>Entrada</t>
        </is>
      </c>
      <c r="E97" s="6" t="n">
        <v>40</v>
      </c>
      <c r="F97" s="6" t="inlineStr"/>
      <c r="G97" s="6" t="inlineStr">
        <is>
          <t>371</t>
        </is>
      </c>
      <c r="H97" s="6" t="inlineStr">
        <is>
          <t>Administrador del Sistema</t>
        </is>
      </c>
      <c r="I97" s="6" t="n">
        <v>40</v>
      </c>
    </row>
    <row r="98">
      <c r="A98" s="6" t="inlineStr">
        <is>
          <t>0100</t>
        </is>
      </c>
      <c r="B98" s="6" t="inlineStr">
        <is>
          <t>PORTA ZAPATA</t>
        </is>
      </c>
      <c r="C98" s="6" t="inlineStr">
        <is>
          <t>2026-09-19</t>
        </is>
      </c>
      <c r="D98" s="6" t="inlineStr">
        <is>
          <t>Entrada</t>
        </is>
      </c>
      <c r="E98" s="6" t="n">
        <v>15</v>
      </c>
      <c r="F98" s="6" t="inlineStr"/>
      <c r="G98" s="6" t="inlineStr">
        <is>
          <t>431</t>
        </is>
      </c>
      <c r="H98" s="6" t="inlineStr">
        <is>
          <t>Administrador del Sistema</t>
        </is>
      </c>
      <c r="I98" s="6" t="n">
        <v>15</v>
      </c>
    </row>
    <row r="99">
      <c r="A99" s="6" t="inlineStr">
        <is>
          <t>9MQ8606S50393</t>
        </is>
      </c>
      <c r="B99" s="6" t="inlineStr">
        <is>
          <t>producto de prueba borra</t>
        </is>
      </c>
      <c r="C99" s="6" t="inlineStr">
        <is>
          <t>2026-09-29</t>
        </is>
      </c>
      <c r="D99" s="6" t="inlineStr">
        <is>
          <t>Entrada</t>
        </is>
      </c>
      <c r="E99" s="6" t="n">
        <v>1</v>
      </c>
      <c r="F99" s="6" t="inlineStr">
        <is>
          <t>Conteo físico</t>
        </is>
      </c>
      <c r="G99" s="6" t="inlineStr"/>
      <c r="H99" s="6" t="inlineStr">
        <is>
          <t>Administrador del Sistema</t>
        </is>
      </c>
      <c r="I99" s="6" t="n">
        <v>1</v>
      </c>
    </row>
    <row r="100">
      <c r="A100" s="6" t="inlineStr">
        <is>
          <t>7862110202551</t>
        </is>
      </c>
      <c r="B100" s="6" t="inlineStr">
        <is>
          <t>producto de prueba crema</t>
        </is>
      </c>
      <c r="C100" s="6" t="inlineStr">
        <is>
          <t>2026-09-29</t>
        </is>
      </c>
      <c r="D100" s="6" t="inlineStr">
        <is>
          <t>Entrada</t>
        </is>
      </c>
      <c r="E100" s="6" t="n">
        <v>5</v>
      </c>
      <c r="F100" s="6" t="inlineStr">
        <is>
          <t>Conteo físico</t>
        </is>
      </c>
      <c r="G100" s="6" t="inlineStr"/>
      <c r="H100" s="6" t="inlineStr">
        <is>
          <t>Administrador del Sistema</t>
        </is>
      </c>
      <c r="I100" s="6" t="n">
        <v>5</v>
      </c>
    </row>
    <row r="101">
      <c r="A101" s="10" t="inlineStr">
        <is>
          <t>0102</t>
        </is>
      </c>
      <c r="B101" s="10" t="inlineStr">
        <is>
          <t>RULIMAN 6204</t>
        </is>
      </c>
      <c r="C101" s="10" t="inlineStr">
        <is>
          <t>2026-09-19</t>
        </is>
      </c>
      <c r="D101" s="10" t="inlineStr">
        <is>
          <t>Salida</t>
        </is>
      </c>
      <c r="E101" s="10" t="n">
        <v>1</v>
      </c>
      <c r="F101" s="10" t="inlineStr">
        <is>
          <t>Coor Mayorga/Tecnico Toala</t>
        </is>
      </c>
      <c r="G101" s="10" t="inlineStr">
        <is>
          <t>Corvinero</t>
        </is>
      </c>
      <c r="H101" s="10" t="inlineStr">
        <is>
          <t>Administrador del Sistema</t>
        </is>
      </c>
      <c r="I101" s="10" t="n">
        <v>-1</v>
      </c>
    </row>
    <row r="102">
      <c r="A102" s="10" t="inlineStr">
        <is>
          <t>0102</t>
        </is>
      </c>
      <c r="B102" s="10" t="inlineStr">
        <is>
          <t>RULIMAN 6204</t>
        </is>
      </c>
      <c r="C102" s="10" t="inlineStr">
        <is>
          <t>2026-09-19</t>
        </is>
      </c>
      <c r="D102" s="10" t="inlineStr">
        <is>
          <t>Salida</t>
        </is>
      </c>
      <c r="E102" s="10" t="n">
        <v>5</v>
      </c>
      <c r="F102" s="10" t="inlineStr">
        <is>
          <t>Coordinador Ronald Mayorga</t>
        </is>
      </c>
      <c r="G102" s="10" t="inlineStr">
        <is>
          <t>Mantenimientos de motos</t>
        </is>
      </c>
      <c r="H102" s="10" t="inlineStr">
        <is>
          <t>Administrador del Sistema</t>
        </is>
      </c>
      <c r="I102" s="10" t="n">
        <v>-6</v>
      </c>
    </row>
    <row r="103">
      <c r="A103" s="6" t="inlineStr">
        <is>
          <t>0102</t>
        </is>
      </c>
      <c r="B103" s="6" t="inlineStr">
        <is>
          <t>RULIMAN 6204</t>
        </is>
      </c>
      <c r="C103" s="6" t="inlineStr">
        <is>
          <t>2026-09-19</t>
        </is>
      </c>
      <c r="D103" s="6" t="inlineStr">
        <is>
          <t>Entrada</t>
        </is>
      </c>
      <c r="E103" s="6" t="n">
        <v>50</v>
      </c>
      <c r="F103" s="6" t="inlineStr"/>
      <c r="G103" s="6" t="inlineStr">
        <is>
          <t>371</t>
        </is>
      </c>
      <c r="H103" s="6" t="inlineStr">
        <is>
          <t>Administrador del Sistema</t>
        </is>
      </c>
      <c r="I103" s="6" t="n">
        <v>44</v>
      </c>
    </row>
    <row r="104">
      <c r="A104" s="6" t="inlineStr">
        <is>
          <t>0103</t>
        </is>
      </c>
      <c r="B104" s="6" t="inlineStr">
        <is>
          <t>RULIMAN 6301</t>
        </is>
      </c>
      <c r="C104" s="6" t="inlineStr">
        <is>
          <t>2026-09-19</t>
        </is>
      </c>
      <c r="D104" s="6" t="inlineStr">
        <is>
          <t>Entrada</t>
        </is>
      </c>
      <c r="E104" s="6" t="n">
        <v>100</v>
      </c>
      <c r="F104" s="6" t="inlineStr"/>
      <c r="G104" s="6" t="inlineStr">
        <is>
          <t>371</t>
        </is>
      </c>
      <c r="H104" s="6" t="inlineStr">
        <is>
          <t>Administrador del Sistema</t>
        </is>
      </c>
      <c r="I104" s="6" t="n">
        <v>100</v>
      </c>
    </row>
    <row r="105">
      <c r="A105" s="6" t="inlineStr">
        <is>
          <t>053</t>
        </is>
      </c>
      <c r="B105" s="6" t="inlineStr">
        <is>
          <t>RULIMAN 6302</t>
        </is>
      </c>
      <c r="C105" s="6" t="inlineStr">
        <is>
          <t>2026-09-19</t>
        </is>
      </c>
      <c r="D105" s="6" t="inlineStr">
        <is>
          <t>Entrada</t>
        </is>
      </c>
      <c r="E105" s="6" t="n">
        <v>50</v>
      </c>
      <c r="F105" s="6" t="inlineStr"/>
      <c r="G105" s="6" t="inlineStr">
        <is>
          <t>731</t>
        </is>
      </c>
      <c r="H105" s="6" t="inlineStr">
        <is>
          <t>Administrador del Sistema</t>
        </is>
      </c>
      <c r="I105" s="6" t="n">
        <v>50</v>
      </c>
    </row>
    <row r="106">
      <c r="A106" s="6" t="inlineStr">
        <is>
          <t>053</t>
        </is>
      </c>
      <c r="B106" s="6" t="inlineStr">
        <is>
          <t>RULIMAN 6302</t>
        </is>
      </c>
      <c r="C106" s="6" t="inlineStr">
        <is>
          <t>2026-09-19</t>
        </is>
      </c>
      <c r="D106" s="6" t="inlineStr">
        <is>
          <t>Entrada</t>
        </is>
      </c>
      <c r="E106" s="6" t="n">
        <v>22</v>
      </c>
      <c r="F106" s="6" t="inlineStr"/>
      <c r="G106" s="6" t="inlineStr"/>
      <c r="H106" s="6" t="inlineStr">
        <is>
          <t>Administrador del Sistema</t>
        </is>
      </c>
      <c r="I106" s="6" t="n">
        <v>72</v>
      </c>
    </row>
    <row r="107">
      <c r="A107" s="6" t="inlineStr">
        <is>
          <t>0106</t>
        </is>
      </c>
      <c r="B107" s="6" t="inlineStr">
        <is>
          <t>SELECTOR DE CAMBIOS</t>
        </is>
      </c>
      <c r="C107" s="6" t="inlineStr">
        <is>
          <t>2026-09-19</t>
        </is>
      </c>
      <c r="D107" s="6" t="inlineStr">
        <is>
          <t>Entrada</t>
        </is>
      </c>
      <c r="E107" s="6" t="n">
        <v>35</v>
      </c>
      <c r="F107" s="6" t="inlineStr"/>
      <c r="G107" s="6" t="inlineStr">
        <is>
          <t>321</t>
        </is>
      </c>
      <c r="H107" s="6" t="inlineStr">
        <is>
          <t>Administrador del Sistema</t>
        </is>
      </c>
      <c r="I107" s="6" t="n">
        <v>35</v>
      </c>
    </row>
    <row r="108">
      <c r="A108" s="6" t="inlineStr">
        <is>
          <t>0107</t>
        </is>
      </c>
      <c r="B108" s="6" t="inlineStr">
        <is>
          <t>SET DE SWITCH SUZUKI</t>
        </is>
      </c>
      <c r="C108" s="6" t="inlineStr">
        <is>
          <t>2026-09-19</t>
        </is>
      </c>
      <c r="D108" s="6" t="inlineStr">
        <is>
          <t>Entrada</t>
        </is>
      </c>
      <c r="E108" s="6" t="n">
        <v>20</v>
      </c>
      <c r="F108" s="6" t="inlineStr"/>
      <c r="G108" s="6" t="inlineStr">
        <is>
          <t>371</t>
        </is>
      </c>
      <c r="H108" s="6" t="inlineStr">
        <is>
          <t>Administrador del Sistema</t>
        </is>
      </c>
      <c r="I108" s="6" t="n">
        <v>20</v>
      </c>
    </row>
    <row r="109">
      <c r="A109" s="10" t="inlineStr">
        <is>
          <t>059</t>
        </is>
      </c>
      <c r="B109" s="10" t="inlineStr">
        <is>
          <t>STOP</t>
        </is>
      </c>
      <c r="C109" s="10" t="inlineStr">
        <is>
          <t>2026-09-19</t>
        </is>
      </c>
      <c r="D109" s="10" t="inlineStr">
        <is>
          <t>Salida</t>
        </is>
      </c>
      <c r="E109" s="10" t="n">
        <v>2</v>
      </c>
      <c r="F109" s="10" t="inlineStr">
        <is>
          <t>Coor Mayorga/Tecnico Toala</t>
        </is>
      </c>
      <c r="G109" s="10" t="inlineStr">
        <is>
          <t>Corvinero</t>
        </is>
      </c>
      <c r="H109" s="10" t="inlineStr">
        <is>
          <t>Administrador del Sistema</t>
        </is>
      </c>
      <c r="I109" s="10" t="n">
        <v>-2</v>
      </c>
    </row>
    <row r="110">
      <c r="A110" s="6" t="inlineStr">
        <is>
          <t>059</t>
        </is>
      </c>
      <c r="B110" s="6" t="inlineStr">
        <is>
          <t>STOP</t>
        </is>
      </c>
      <c r="C110" s="6" t="inlineStr">
        <is>
          <t>2026-09-19</t>
        </is>
      </c>
      <c r="D110" s="6" t="inlineStr">
        <is>
          <t>Entrada</t>
        </is>
      </c>
      <c r="E110" s="6" t="n">
        <v>31</v>
      </c>
      <c r="F110" s="6" t="inlineStr"/>
      <c r="G110" s="6" t="inlineStr">
        <is>
          <t>371</t>
        </is>
      </c>
      <c r="H110" s="6" t="inlineStr">
        <is>
          <t>Administrador del Sistema</t>
        </is>
      </c>
      <c r="I110" s="6" t="n">
        <v>29</v>
      </c>
    </row>
    <row r="111">
      <c r="A111" s="6" t="inlineStr">
        <is>
          <t>047</t>
        </is>
      </c>
      <c r="B111" s="6" t="inlineStr">
        <is>
          <t>TABLERO</t>
        </is>
      </c>
      <c r="C111" s="6" t="inlineStr">
        <is>
          <t>2026-09-19</t>
        </is>
      </c>
      <c r="D111" s="6" t="inlineStr">
        <is>
          <t>Entrada</t>
        </is>
      </c>
      <c r="E111" s="6" t="n">
        <v>6</v>
      </c>
      <c r="F111" s="6" t="inlineStr"/>
      <c r="G111" s="6" t="inlineStr"/>
      <c r="H111" s="6" t="inlineStr">
        <is>
          <t>Administrador del Sistema</t>
        </is>
      </c>
      <c r="I111" s="6" t="n">
        <v>6</v>
      </c>
    </row>
    <row r="112">
      <c r="A112" s="6" t="inlineStr">
        <is>
          <t>005</t>
        </is>
      </c>
      <c r="B112" s="6" t="inlineStr">
        <is>
          <t>TANQUE DE GASOLINA</t>
        </is>
      </c>
      <c r="C112" s="6" t="inlineStr">
        <is>
          <t>2026-09-19</t>
        </is>
      </c>
      <c r="D112" s="6" t="inlineStr">
        <is>
          <t>Entrada</t>
        </is>
      </c>
      <c r="E112" s="6" t="n">
        <v>2</v>
      </c>
      <c r="F112" s="6" t="inlineStr"/>
      <c r="G112" s="6" t="inlineStr"/>
      <c r="H112" s="6" t="inlineStr">
        <is>
          <t>Administrador del Sistema</t>
        </is>
      </c>
      <c r="I112" s="6" t="n">
        <v>2</v>
      </c>
    </row>
    <row r="113">
      <c r="A113" s="6" t="inlineStr">
        <is>
          <t>0115</t>
        </is>
      </c>
      <c r="B113" s="6" t="inlineStr">
        <is>
          <t>TAPA LATERAL GN NOVA NEGRO</t>
        </is>
      </c>
      <c r="C113" s="6" t="inlineStr">
        <is>
          <t>2026-09-19</t>
        </is>
      </c>
      <c r="D113" s="6" t="inlineStr">
        <is>
          <t>Entrada</t>
        </is>
      </c>
      <c r="E113" s="6" t="n">
        <v>40</v>
      </c>
      <c r="F113" s="6" t="inlineStr"/>
      <c r="G113" s="6" t="inlineStr">
        <is>
          <t>731</t>
        </is>
      </c>
      <c r="H113" s="6" t="inlineStr">
        <is>
          <t>Administrador del Sistema</t>
        </is>
      </c>
      <c r="I113" s="6" t="n">
        <v>40</v>
      </c>
    </row>
    <row r="114">
      <c r="A114" s="10" t="inlineStr">
        <is>
          <t>0115</t>
        </is>
      </c>
      <c r="B114" s="10" t="inlineStr">
        <is>
          <t>TAPA LATERAL GN NOVA NEGRO</t>
        </is>
      </c>
      <c r="C114" s="10" t="inlineStr">
        <is>
          <t>2026-09-26</t>
        </is>
      </c>
      <c r="D114" s="10" t="inlineStr">
        <is>
          <t>Salida</t>
        </is>
      </c>
      <c r="E114" s="10" t="n">
        <v>5</v>
      </c>
      <c r="F114" s="10" t="inlineStr">
        <is>
          <t xml:space="preserve">Coordinador Bone </t>
        </is>
      </c>
      <c r="G114" s="10" t="inlineStr">
        <is>
          <t>Taura c</t>
        </is>
      </c>
      <c r="H114" s="10" t="inlineStr">
        <is>
          <t>Bodega Durán</t>
        </is>
      </c>
      <c r="I114" s="10" t="n">
        <v>35</v>
      </c>
    </row>
    <row r="115">
      <c r="A115" s="10" t="inlineStr">
        <is>
          <t>018</t>
        </is>
      </c>
      <c r="B115" s="10" t="inlineStr">
        <is>
          <t>TARRO DE GOMA</t>
        </is>
      </c>
      <c r="C115" s="10" t="inlineStr">
        <is>
          <t>2026-09-19</t>
        </is>
      </c>
      <c r="D115" s="10" t="inlineStr">
        <is>
          <t>Salida</t>
        </is>
      </c>
      <c r="E115" s="10" t="n">
        <v>2</v>
      </c>
      <c r="F115" s="10" t="inlineStr">
        <is>
          <t>Coordinador Ronald Mayorga</t>
        </is>
      </c>
      <c r="G115" s="10" t="inlineStr">
        <is>
          <t>Mantenimientos de motos</t>
        </is>
      </c>
      <c r="H115" s="10" t="inlineStr">
        <is>
          <t>Administrador del Sistema</t>
        </is>
      </c>
      <c r="I115" s="10" t="n">
        <v>-2</v>
      </c>
    </row>
    <row r="116">
      <c r="A116" s="6" t="inlineStr">
        <is>
          <t>018</t>
        </is>
      </c>
      <c r="B116" s="6" t="inlineStr">
        <is>
          <t>TARRO DE GOMA</t>
        </is>
      </c>
      <c r="C116" s="6" t="inlineStr">
        <is>
          <t>2026-09-19</t>
        </is>
      </c>
      <c r="D116" s="6" t="inlineStr">
        <is>
          <t>Entrada</t>
        </is>
      </c>
      <c r="E116" s="6" t="n">
        <v>331</v>
      </c>
      <c r="F116" s="6" t="inlineStr"/>
      <c r="G116" s="6" t="inlineStr"/>
      <c r="H116" s="6" t="inlineStr">
        <is>
          <t>Administrador del Sistema</t>
        </is>
      </c>
      <c r="I116" s="6" t="n">
        <v>329</v>
      </c>
    </row>
    <row r="117">
      <c r="A117" s="10" t="inlineStr">
        <is>
          <t>013</t>
        </is>
      </c>
      <c r="B117" s="10" t="inlineStr">
        <is>
          <t>TARRO DE GRASA</t>
        </is>
      </c>
      <c r="C117" s="10" t="inlineStr">
        <is>
          <t>2026-09-19</t>
        </is>
      </c>
      <c r="D117" s="10" t="inlineStr">
        <is>
          <t>Salida</t>
        </is>
      </c>
      <c r="E117" s="10" t="n">
        <v>1</v>
      </c>
      <c r="F117" s="10" t="inlineStr">
        <is>
          <t>Coor Mayorga/Tecnico Toala</t>
        </is>
      </c>
      <c r="G117" s="10" t="inlineStr">
        <is>
          <t>Corvinero</t>
        </is>
      </c>
      <c r="H117" s="10" t="inlineStr">
        <is>
          <t>Administrador del Sistema</t>
        </is>
      </c>
      <c r="I117" s="10" t="n">
        <v>-1</v>
      </c>
    </row>
    <row r="118">
      <c r="A118" s="6" t="inlineStr">
        <is>
          <t>013</t>
        </is>
      </c>
      <c r="B118" s="6" t="inlineStr">
        <is>
          <t>TARRO DE GRASA</t>
        </is>
      </c>
      <c r="C118" s="6" t="inlineStr">
        <is>
          <t>2026-09-19</t>
        </is>
      </c>
      <c r="D118" s="6" t="inlineStr">
        <is>
          <t>Entrada</t>
        </is>
      </c>
      <c r="E118" s="6" t="n">
        <v>50</v>
      </c>
      <c r="F118" s="6" t="inlineStr"/>
      <c r="G118" s="6" t="inlineStr">
        <is>
          <t>731</t>
        </is>
      </c>
      <c r="H118" s="6" t="inlineStr">
        <is>
          <t>Administrador del Sistema</t>
        </is>
      </c>
      <c r="I118" s="6" t="n">
        <v>49</v>
      </c>
    </row>
    <row r="119">
      <c r="A119" s="6" t="inlineStr">
        <is>
          <t>0109</t>
        </is>
      </c>
      <c r="B119" s="6" t="inlineStr">
        <is>
          <t>TEMPLADOR DE CADENA</t>
        </is>
      </c>
      <c r="C119" s="6" t="inlineStr">
        <is>
          <t>2026-09-19</t>
        </is>
      </c>
      <c r="D119" s="6" t="inlineStr">
        <is>
          <t>Entrada</t>
        </is>
      </c>
      <c r="E119" s="6" t="n">
        <v>88</v>
      </c>
      <c r="F119" s="6" t="inlineStr"/>
      <c r="G119" s="6" t="inlineStr">
        <is>
          <t>731</t>
        </is>
      </c>
      <c r="H119" s="6" t="inlineStr">
        <is>
          <t>Administrador del Sistema</t>
        </is>
      </c>
      <c r="I119" s="6" t="n">
        <v>88</v>
      </c>
    </row>
    <row r="120">
      <c r="A120" s="6" t="inlineStr">
        <is>
          <t>0109</t>
        </is>
      </c>
      <c r="B120" s="6" t="inlineStr">
        <is>
          <t>TEMPLADOR DE CADENA</t>
        </is>
      </c>
      <c r="C120" s="6" t="inlineStr">
        <is>
          <t>2026-09-22</t>
        </is>
      </c>
      <c r="D120" s="6" t="inlineStr">
        <is>
          <t>Entrada</t>
        </is>
      </c>
      <c r="E120" s="6" t="n">
        <v>5</v>
      </c>
      <c r="F120" s="6" t="inlineStr">
        <is>
          <t>colon moto</t>
        </is>
      </c>
      <c r="G120" s="6" t="inlineStr">
        <is>
          <t>371</t>
        </is>
      </c>
      <c r="H120" s="6" t="inlineStr">
        <is>
          <t>Administrador del Sistema</t>
        </is>
      </c>
      <c r="I120" s="6" t="n">
        <v>93</v>
      </c>
    </row>
    <row r="121">
      <c r="A121" s="6" t="inlineStr">
        <is>
          <t>015</t>
        </is>
      </c>
      <c r="B121" s="6" t="inlineStr">
        <is>
          <t>TENSOR DE CADENILLA</t>
        </is>
      </c>
      <c r="C121" s="6" t="inlineStr">
        <is>
          <t>2026-09-19</t>
        </is>
      </c>
      <c r="D121" s="6" t="inlineStr">
        <is>
          <t>Entrada</t>
        </is>
      </c>
      <c r="E121" s="6" t="n">
        <v>53</v>
      </c>
      <c r="F121" s="6" t="inlineStr"/>
      <c r="G121" s="6" t="inlineStr"/>
      <c r="H121" s="6" t="inlineStr">
        <is>
          <t>Administrador del Sistema</t>
        </is>
      </c>
      <c r="I121" s="6" t="n">
        <v>53</v>
      </c>
    </row>
    <row r="122">
      <c r="A122" s="10" t="inlineStr">
        <is>
          <t>015</t>
        </is>
      </c>
      <c r="B122" s="10" t="inlineStr">
        <is>
          <t>TENSOR DE CADENILLA</t>
        </is>
      </c>
      <c r="C122" s="10" t="inlineStr">
        <is>
          <t>2026-09-26</t>
        </is>
      </c>
      <c r="D122" s="10" t="inlineStr">
        <is>
          <t>Salida</t>
        </is>
      </c>
      <c r="E122" s="10" t="n">
        <v>3</v>
      </c>
      <c r="F122" s="10" t="inlineStr">
        <is>
          <t xml:space="preserve">Coordinador Bone </t>
        </is>
      </c>
      <c r="G122" s="10" t="inlineStr">
        <is>
          <t>Taura c</t>
        </is>
      </c>
      <c r="H122" s="10" t="inlineStr">
        <is>
          <t>Bodega Durán</t>
        </is>
      </c>
      <c r="I122" s="10" t="n">
        <v>50</v>
      </c>
    </row>
    <row r="123">
      <c r="A123" s="6" t="inlineStr">
        <is>
          <t>008</t>
        </is>
      </c>
      <c r="B123" s="6" t="inlineStr">
        <is>
          <t>TIMON</t>
        </is>
      </c>
      <c r="C123" s="6" t="inlineStr">
        <is>
          <t>2026-09-19</t>
        </is>
      </c>
      <c r="D123" s="6" t="inlineStr">
        <is>
          <t>Entrada</t>
        </is>
      </c>
      <c r="E123" s="6" t="n">
        <v>8</v>
      </c>
      <c r="F123" s="6" t="inlineStr"/>
      <c r="G123" s="6" t="inlineStr"/>
      <c r="H123" s="6" t="inlineStr">
        <is>
          <t>Administrador del Sistema</t>
        </is>
      </c>
      <c r="I123" s="6" t="n">
        <v>8</v>
      </c>
    </row>
    <row r="124">
      <c r="A124" s="6" t="inlineStr">
        <is>
          <t>010</t>
        </is>
      </c>
      <c r="B124" s="6" t="inlineStr">
        <is>
          <t>TUBOS DELANTEROS</t>
        </is>
      </c>
      <c r="C124" s="6" t="inlineStr">
        <is>
          <t>2026-09-19</t>
        </is>
      </c>
      <c r="D124" s="6" t="inlineStr">
        <is>
          <t>Entrada</t>
        </is>
      </c>
      <c r="E124" s="6" t="n">
        <v>45</v>
      </c>
      <c r="F124" s="6" t="inlineStr">
        <is>
          <t>Colón Moto</t>
        </is>
      </c>
      <c r="G124" s="6" t="inlineStr"/>
      <c r="H124" s="6" t="inlineStr">
        <is>
          <t>Administrador del Sistema</t>
        </is>
      </c>
      <c r="I124" s="6" t="n">
        <v>45</v>
      </c>
    </row>
    <row r="125">
      <c r="A125" s="6" t="inlineStr">
        <is>
          <t>010</t>
        </is>
      </c>
      <c r="B125" s="6" t="inlineStr">
        <is>
          <t>TUBOS DELANTEROS</t>
        </is>
      </c>
      <c r="C125" s="6" t="inlineStr">
        <is>
          <t>2026-09-19</t>
        </is>
      </c>
      <c r="D125" s="6" t="inlineStr">
        <is>
          <t>Entrada</t>
        </is>
      </c>
      <c r="E125" s="6" t="n">
        <v>100</v>
      </c>
      <c r="F125" s="6" t="inlineStr"/>
      <c r="G125" s="6" t="inlineStr">
        <is>
          <t>321</t>
        </is>
      </c>
      <c r="H125" s="6" t="inlineStr">
        <is>
          <t>Administrador del Sistema</t>
        </is>
      </c>
      <c r="I125" s="6" t="n">
        <v>145</v>
      </c>
    </row>
    <row r="126">
      <c r="A126" s="6" t="inlineStr">
        <is>
          <t>011</t>
        </is>
      </c>
      <c r="B126" s="6" t="inlineStr">
        <is>
          <t>TUBOS TRASEROS</t>
        </is>
      </c>
      <c r="C126" s="6" t="inlineStr">
        <is>
          <t>2026-09-19</t>
        </is>
      </c>
      <c r="D126" s="6" t="inlineStr">
        <is>
          <t>Entrada</t>
        </is>
      </c>
      <c r="E126" s="6" t="n">
        <v>50</v>
      </c>
      <c r="F126" s="6" t="inlineStr">
        <is>
          <t>Colón Moto</t>
        </is>
      </c>
      <c r="G126" s="6" t="inlineStr"/>
      <c r="H126" s="6" t="inlineStr">
        <is>
          <t>Administrador del Sistema</t>
        </is>
      </c>
      <c r="I126" s="6" t="n">
        <v>50</v>
      </c>
    </row>
    <row r="127">
      <c r="A127" s="6" t="inlineStr">
        <is>
          <t>011</t>
        </is>
      </c>
      <c r="B127" s="6" t="inlineStr">
        <is>
          <t>TUBOS TRASEROS</t>
        </is>
      </c>
      <c r="C127" s="6" t="inlineStr">
        <is>
          <t>2026-09-19</t>
        </is>
      </c>
      <c r="D127" s="6" t="inlineStr">
        <is>
          <t>Entrada</t>
        </is>
      </c>
      <c r="E127" s="6" t="n">
        <v>100</v>
      </c>
      <c r="F127" s="6" t="inlineStr"/>
      <c r="G127" s="6" t="inlineStr">
        <is>
          <t>731</t>
        </is>
      </c>
      <c r="H127" s="6" t="inlineStr">
        <is>
          <t>Administrador del Sistema</t>
        </is>
      </c>
      <c r="I127" s="6" t="n">
        <v>150</v>
      </c>
    </row>
    <row r="128">
      <c r="A128" s="6" t="inlineStr">
        <is>
          <t>0111</t>
        </is>
      </c>
      <c r="B128" s="6" t="inlineStr">
        <is>
          <t>VÁLVULAS GN</t>
        </is>
      </c>
      <c r="C128" s="6" t="inlineStr">
        <is>
          <t>2026-09-19</t>
        </is>
      </c>
      <c r="D128" s="6" t="inlineStr">
        <is>
          <t>Entrada</t>
        </is>
      </c>
      <c r="E128" s="6" t="n">
        <v>40</v>
      </c>
      <c r="F128" s="6" t="inlineStr"/>
      <c r="G128" s="6" t="inlineStr">
        <is>
          <t>371</t>
        </is>
      </c>
      <c r="H128" s="6" t="inlineStr">
        <is>
          <t>Administrador del Sistema</t>
        </is>
      </c>
      <c r="I128" s="6" t="n">
        <v>40</v>
      </c>
    </row>
    <row r="129">
      <c r="A129" s="10" t="inlineStr">
        <is>
          <t>0111</t>
        </is>
      </c>
      <c r="B129" s="10" t="inlineStr">
        <is>
          <t>VÁLVULAS GN</t>
        </is>
      </c>
      <c r="C129" s="10" t="inlineStr">
        <is>
          <t>2026-09-26</t>
        </is>
      </c>
      <c r="D129" s="10" t="inlineStr">
        <is>
          <t>Salida</t>
        </is>
      </c>
      <c r="E129" s="10" t="n">
        <v>5</v>
      </c>
      <c r="F129" s="10" t="inlineStr">
        <is>
          <t xml:space="preserve">Coordinador Bone </t>
        </is>
      </c>
      <c r="G129" s="10" t="inlineStr">
        <is>
          <t>Taura c</t>
        </is>
      </c>
      <c r="H129" s="10" t="inlineStr">
        <is>
          <t>Bodega Durán</t>
        </is>
      </c>
      <c r="I129" s="10" t="n">
        <v>35</v>
      </c>
    </row>
    <row r="130">
      <c r="A130" s="10" t="inlineStr">
        <is>
          <t>0112</t>
        </is>
      </c>
      <c r="B130" s="10" t="inlineStr">
        <is>
          <t>ZAPATA GN</t>
        </is>
      </c>
      <c r="C130" s="10" t="inlineStr">
        <is>
          <t>2026-09-19</t>
        </is>
      </c>
      <c r="D130" s="10" t="inlineStr">
        <is>
          <t>Salida</t>
        </is>
      </c>
      <c r="E130" s="10" t="n">
        <v>3</v>
      </c>
      <c r="F130" s="10" t="inlineStr">
        <is>
          <t>Coor Mayorga/Tecnico Toala</t>
        </is>
      </c>
      <c r="G130" s="10" t="inlineStr">
        <is>
          <t>Corvinero</t>
        </is>
      </c>
      <c r="H130" s="10" t="inlineStr">
        <is>
          <t>Administrador del Sistema</t>
        </is>
      </c>
      <c r="I130" s="10" t="n">
        <v>-3</v>
      </c>
    </row>
    <row r="131">
      <c r="A131" s="6" t="inlineStr">
        <is>
          <t>0112</t>
        </is>
      </c>
      <c r="B131" s="6" t="inlineStr">
        <is>
          <t>ZAPATA GN</t>
        </is>
      </c>
      <c r="C131" s="6" t="inlineStr">
        <is>
          <t>2026-09-19</t>
        </is>
      </c>
      <c r="D131" s="6" t="inlineStr">
        <is>
          <t>Entrada</t>
        </is>
      </c>
      <c r="E131" s="6" t="n">
        <v>80</v>
      </c>
      <c r="F131" s="6" t="inlineStr"/>
      <c r="G131" s="6" t="inlineStr">
        <is>
          <t>371</t>
        </is>
      </c>
      <c r="H131" s="6" t="inlineStr">
        <is>
          <t>Administrador del Sistema</t>
        </is>
      </c>
      <c r="I131" s="6" t="n">
        <v>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2026-10-16T01:39:51Z</dcterms:created>
  <dcterms:modified xmlns:dcterms="http://purl.org/dc/terms/" xmlns:xsi="http://www.w3.org/2001/XMLSchema-instance" xsi:type="dcterms:W3CDTF">2026-10-16T01:39:51Z</dcterms:modified>
</cp:coreProperties>
</file>